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848d27e53d4dbbe8/Documents/"/>
    </mc:Choice>
  </mc:AlternateContent>
  <xr:revisionPtr revIDLastSave="2" documentId="13_ncr:1_{698E885B-88E6-484E-9134-96148008E94E}" xr6:coauthVersionLast="47" xr6:coauthVersionMax="47" xr10:uidLastSave="{C6D71F73-B421-4EA7-BEAF-87ACF4F4ED99}"/>
  <bookViews>
    <workbookView xWindow="-120" yWindow="-120" windowWidth="20730" windowHeight="11040" activeTab="7" xr2:uid="{C12E1667-B3AD-774C-86B8-AF8BC0DA4CE2}"/>
  </bookViews>
  <sheets>
    <sheet name="Cover Page" sheetId="2" r:id="rId1"/>
    <sheet name="Sheet3" sheetId="4" r:id="rId2"/>
    <sheet name="Sheet2" sheetId="3" r:id="rId3"/>
    <sheet name="Sheet4" sheetId="5" r:id="rId4"/>
    <sheet name="Sheet5" sheetId="6" r:id="rId5"/>
    <sheet name="Sheet6" sheetId="7" r:id="rId6"/>
    <sheet name="Sheet9" sheetId="10" r:id="rId7"/>
    <sheet name="Sheet1" sheetId="1" r:id="rId8"/>
    <sheet name="DASHBOARD1" sheetId="8" r:id="rId9"/>
    <sheet name="DASHBOARD2" sheetId="9" r:id="rId10"/>
  </sheets>
  <definedNames>
    <definedName name="Slicer_Age">#N/A</definedName>
    <definedName name="Slicer_Country">#N/A</definedName>
    <definedName name="Slicer_Gender">#N/A</definedName>
    <definedName name="Slicer_Order_ID">#N/A</definedName>
    <definedName name="Slicer_Payment__Method">#N/A</definedName>
    <definedName name="Slicer_Revenue">#N/A</definedName>
    <definedName name="Slicer_Salespers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5345CE-4178-4EB3-987F-4AE9BDDAA2D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<sst xmlns="http://schemas.openxmlformats.org/spreadsheetml/2006/main" count="550" uniqueCount="140">
  <si>
    <t>Order ID</t>
  </si>
  <si>
    <t>Date</t>
  </si>
  <si>
    <t>Gender</t>
  </si>
  <si>
    <t>Age</t>
  </si>
  <si>
    <t>Country</t>
  </si>
  <si>
    <t>Price</t>
  </si>
  <si>
    <t>Units</t>
  </si>
  <si>
    <t>Revenue</t>
  </si>
  <si>
    <t>Payment 
Method</t>
  </si>
  <si>
    <t>Salesperson</t>
  </si>
  <si>
    <t>Female</t>
  </si>
  <si>
    <t>FR</t>
  </si>
  <si>
    <t xml:space="preserve"> Credit Card</t>
  </si>
  <si>
    <t>IT</t>
  </si>
  <si>
    <t xml:space="preserve"> Cash</t>
  </si>
  <si>
    <t>Anna Perez</t>
  </si>
  <si>
    <t>Male</t>
  </si>
  <si>
    <t>UK</t>
  </si>
  <si>
    <t>JP</t>
  </si>
  <si>
    <t>ES</t>
  </si>
  <si>
    <t xml:space="preserve"> Gift Card</t>
  </si>
  <si>
    <t>US</t>
  </si>
  <si>
    <t>Walter Muller</t>
  </si>
  <si>
    <t>USA</t>
  </si>
  <si>
    <t>Remy Monet</t>
  </si>
  <si>
    <t>Jenna Silva</t>
  </si>
  <si>
    <t>Tom Jackson</t>
  </si>
  <si>
    <t>DE</t>
  </si>
  <si>
    <t>Data Analysis Essentials</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</si>
  <si>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</si>
  <si>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 xml:space="preserve">Get our Excel for Business and Finance </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</si>
  <si>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</si>
  <si>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</si>
  <si>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</si>
  <si>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</si>
  <si>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Janet Murphy</t>
  </si>
  <si>
    <t>Janice Clark</t>
  </si>
  <si>
    <t>Charlotte Walker</t>
  </si>
  <si>
    <t>Natalie Robinson</t>
  </si>
  <si>
    <t>Doris Nguyen</t>
  </si>
  <si>
    <t>Keith Roberts</t>
  </si>
  <si>
    <t>Kelly Jones</t>
  </si>
  <si>
    <t>Kennedi Singh</t>
  </si>
  <si>
    <t>Joseph Mitchell</t>
  </si>
  <si>
    <t>Steven Simpson</t>
  </si>
  <si>
    <t>Kenneth Anderson</t>
  </si>
  <si>
    <t>Nicholas Gerrard</t>
  </si>
  <si>
    <t>Judith Lopez</t>
  </si>
  <si>
    <t>Hannah Garcia</t>
  </si>
  <si>
    <t>Marilyn Allen</t>
  </si>
  <si>
    <t>Brendan Walls</t>
  </si>
  <si>
    <t>Carolyn Muir</t>
  </si>
  <si>
    <t>Teresa Jarris</t>
  </si>
  <si>
    <t>Beverly Young</t>
  </si>
  <si>
    <t>Brittany Hill</t>
  </si>
  <si>
    <t>Christian Carter</t>
  </si>
  <si>
    <t>Gary Sinclair</t>
  </si>
  <si>
    <t>Ivan Hines</t>
  </si>
  <si>
    <t>Jonah Higgins</t>
  </si>
  <si>
    <t>Lucia Mckay</t>
  </si>
  <si>
    <t>Jaylynn Knapp</t>
  </si>
  <si>
    <t>Bryce Carpenter</t>
  </si>
  <si>
    <t>Michael Filson</t>
  </si>
  <si>
    <t>Thomas Clark</t>
  </si>
  <si>
    <t>Daniel Davidson</t>
  </si>
  <si>
    <t>Heather Stevenson</t>
  </si>
  <si>
    <t>Martha Lee</t>
  </si>
  <si>
    <t>Richard Ross</t>
  </si>
  <si>
    <t>Andrew Hamilton</t>
  </si>
  <si>
    <t>Catherine Sunderland</t>
  </si>
  <si>
    <t>Jacob William</t>
  </si>
  <si>
    <t>Victoria Prowse</t>
  </si>
  <si>
    <t>Ruth Milner</t>
  </si>
  <si>
    <t>Virginia Dunk</t>
  </si>
  <si>
    <t>Bruce Rich</t>
  </si>
  <si>
    <t>William Stewart</t>
  </si>
  <si>
    <t>Charles Gray</t>
  </si>
  <si>
    <t>Ronald Millar</t>
  </si>
  <si>
    <t>Lauren Webster</t>
  </si>
  <si>
    <t>Kayla Nelson</t>
  </si>
  <si>
    <t>Denzel Flores</t>
  </si>
  <si>
    <t>Bruno Cordova</t>
  </si>
  <si>
    <t>Gloria White</t>
  </si>
  <si>
    <t>Sara Perez</t>
  </si>
  <si>
    <t>Cheryl Davis</t>
  </si>
  <si>
    <t>Jacqueline Moore</t>
  </si>
  <si>
    <t>Jason Crawford</t>
  </si>
  <si>
    <t>Jeffrey Dickson</t>
  </si>
  <si>
    <t>Olivia Craig</t>
  </si>
  <si>
    <t>Julie Wright</t>
  </si>
  <si>
    <t>David Thomson</t>
  </si>
  <si>
    <t>Christopher Taylor</t>
  </si>
  <si>
    <t>Paul Murray</t>
  </si>
  <si>
    <t>Megan Miller</t>
  </si>
  <si>
    <t>Roger Turner</t>
  </si>
  <si>
    <t>Maria Kennedy</t>
  </si>
  <si>
    <t>Donald Kerr</t>
  </si>
  <si>
    <t>Rachel White</t>
  </si>
  <si>
    <t>Andrea Gonzalez</t>
  </si>
  <si>
    <t>Kylee Townsend</t>
  </si>
  <si>
    <t>Timothy Johnson</t>
  </si>
  <si>
    <t>Jonathan Burns</t>
  </si>
  <si>
    <t>Joyce Adams</t>
  </si>
  <si>
    <t>Theresa Lewsis</t>
  </si>
  <si>
    <t>Alexis Rivera</t>
  </si>
  <si>
    <t>Terry Evans</t>
  </si>
  <si>
    <t>John Brown</t>
  </si>
  <si>
    <t>Ryan Hill</t>
  </si>
  <si>
    <t>Nyla Novak</t>
  </si>
  <si>
    <t>Evelyn Martinez</t>
  </si>
  <si>
    <t>Bill Smith</t>
  </si>
  <si>
    <t>Jordan Boone</t>
  </si>
  <si>
    <t>Nora Rollins</t>
  </si>
  <si>
    <t>Steven Michael</t>
  </si>
  <si>
    <t>Josue Roach</t>
  </si>
  <si>
    <t>Harley Fritz</t>
  </si>
  <si>
    <t>Jaidyn Andersen</t>
  </si>
  <si>
    <t>Matthew McDonald</t>
  </si>
  <si>
    <t>Anthony Henderson</t>
  </si>
  <si>
    <t>Brian Munro</t>
  </si>
  <si>
    <t>George Hughes</t>
  </si>
  <si>
    <t>Edward King</t>
  </si>
  <si>
    <t>Eric Jones</t>
  </si>
  <si>
    <t>Diane Wood</t>
  </si>
  <si>
    <t>Joan Thomson</t>
  </si>
  <si>
    <t>Madison Lohan</t>
  </si>
  <si>
    <t>Diana Torres</t>
  </si>
  <si>
    <t>Christina Fergusson</t>
  </si>
  <si>
    <t>Lori Campbell</t>
  </si>
  <si>
    <t>Joshua Reid</t>
  </si>
  <si>
    <t>Names</t>
  </si>
  <si>
    <t>Row Labels</t>
  </si>
  <si>
    <t>Grand Total</t>
  </si>
  <si>
    <t>Sum of Revenue</t>
  </si>
  <si>
    <t>Count of Order ID</t>
  </si>
  <si>
    <t>Count of Age</t>
  </si>
  <si>
    <t>INTERACTIVE DASHBOARD</t>
  </si>
  <si>
    <t>2026: SALES REPORT</t>
  </si>
  <si>
    <t xml:space="preserve">  </t>
  </si>
  <si>
    <t>zz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</si>
</sst>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2" x14ac:knownFonts="1">
    <font>
      <sz val="12"/>
      <color theme="1"/>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24"/>
      <color theme="10"/>
      <name val="Calibri"/>
      <family val="2"/>
      <scheme val="minor"/>
    </font>
    <font>
      <i/>
      <sz val="14"/>
      <color rgb="FF0432FF"/>
      <name val="Calibri"/>
      <family val="2"/>
      <scheme val="minor"/>
    </font>
    <font>
      <b/>
      <sz val="12"/>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9"/>
      </patternFill>
    </fill>
  </fills>
  <borders count="11">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44" fontId="1" fillId="0" borderId="0" applyFont="0" applyFill="0" applyBorder="0" applyAlignment="0" applyProtection="0"/>
    <xf numFmtId="0" fontId="11" fillId="5" borderId="0" applyNumberFormat="0" applyBorder="0" applyAlignment="0" applyProtection="0"/>
  </cellStyleXfs>
  <cellXfs count="40">
    <xf numFmtId="0" fontId="0" fillId="0" borderId="0" xfId="0"/>
    <xf numFmtId="0" fontId="0" fillId="0" borderId="0" xfId="0" applyAlignment="1">
      <alignment horizontal="left"/>
    </xf>
    <xf numFmtId="0" fontId="0" fillId="0" borderId="0" xfId="0" applyAlignment="1">
      <alignment horizontal="center"/>
    </xf>
    <xf numFmtId="0" fontId="0" fillId="0" borderId="1" xfId="0" applyBorder="1"/>
    <xf numFmtId="0" fontId="4" fillId="0" borderId="2" xfId="0" applyFont="1" applyBorder="1" applyAlignment="1">
      <alignment horizontal="center" vertical="center"/>
    </xf>
    <xf numFmtId="0" fontId="0" fillId="0" borderId="3" xfId="0" applyBorder="1"/>
    <xf numFmtId="0" fontId="0" fillId="2" borderId="0" xfId="0" applyFill="1"/>
    <xf numFmtId="0" fontId="0" fillId="0" borderId="4" xfId="0" applyBorder="1"/>
    <xf numFmtId="0" fontId="5" fillId="0" borderId="0" xfId="0" applyFont="1" applyAlignment="1">
      <alignment horizontal="center" vertical="center"/>
    </xf>
    <xf numFmtId="0" fontId="0" fillId="0" borderId="5" xfId="0" applyBorder="1"/>
    <xf numFmtId="0" fontId="1" fillId="0" borderId="4" xfId="0" applyFont="1" applyBorder="1"/>
    <xf numFmtId="0" fontId="6" fillId="0" borderId="0" xfId="0" applyFont="1" applyAlignment="1">
      <alignment horizontal="center"/>
    </xf>
    <xf numFmtId="0" fontId="1" fillId="0" borderId="5" xfId="0" applyFont="1" applyBorder="1"/>
    <xf numFmtId="0" fontId="1" fillId="2" borderId="0" xfId="0" applyFont="1" applyFill="1"/>
    <xf numFmtId="0" fontId="1" fillId="0" borderId="0" xfId="0" applyFont="1"/>
    <xf numFmtId="0" fontId="0" fillId="0" borderId="4" xfId="0" applyBorder="1" applyAlignment="1">
      <alignment vertical="center"/>
    </xf>
    <xf numFmtId="0" fontId="8" fillId="3" borderId="6" xfId="1" applyFont="1" applyFill="1" applyBorder="1" applyAlignment="1">
      <alignment horizontal="center" vertical="center"/>
    </xf>
    <xf numFmtId="0" fontId="0" fillId="0" borderId="5" xfId="0" applyBorder="1" applyAlignment="1">
      <alignment vertical="center"/>
    </xf>
    <xf numFmtId="0" fontId="0" fillId="2" borderId="0" xfId="0" applyFill="1" applyAlignment="1">
      <alignment vertical="center"/>
    </xf>
    <xf numFmtId="0" fontId="9" fillId="0" borderId="0" xfId="1" applyFont="1" applyFill="1" applyBorder="1"/>
    <xf numFmtId="0" fontId="2" fillId="0" borderId="7" xfId="0" applyFont="1" applyBorder="1"/>
    <xf numFmtId="0" fontId="0" fillId="0" borderId="0" xfId="0" applyAlignment="1">
      <alignment vertical="top" wrapText="1"/>
    </xf>
    <xf numFmtId="0" fontId="0" fillId="0" borderId="8" xfId="0" applyBorder="1"/>
    <xf numFmtId="0" fontId="0" fillId="0" borderId="7" xfId="0" applyBorder="1"/>
    <xf numFmtId="0" fontId="0" fillId="0" borderId="9" xfId="0" applyBorder="1"/>
    <xf numFmtId="0" fontId="0" fillId="0" borderId="10" xfId="0" applyBorder="1"/>
    <xf numFmtId="0" fontId="10" fillId="4" borderId="10" xfId="0" applyFont="1" applyFill="1" applyBorder="1" applyAlignment="1">
      <alignment vertical="center"/>
    </xf>
    <xf numFmtId="0" fontId="10" fillId="4" borderId="10" xfId="0" applyFont="1" applyFill="1" applyBorder="1" applyAlignment="1">
      <alignment horizontal="center" vertical="center"/>
    </xf>
    <xf numFmtId="0" fontId="10" fillId="4" borderId="10" xfId="0" applyFont="1" applyFill="1" applyBorder="1" applyAlignment="1">
      <alignment horizontal="center" vertical="center" wrapText="1"/>
    </xf>
    <xf numFmtId="14" fontId="10" fillId="4" borderId="10" xfId="0" applyNumberFormat="1" applyFont="1" applyFill="1" applyBorder="1" applyAlignment="1">
      <alignment horizontal="center" vertical="center"/>
    </xf>
    <xf numFmtId="14" fontId="0" fillId="0" borderId="0" xfId="0" applyNumberFormat="1" applyAlignment="1">
      <alignment horizontal="center"/>
    </xf>
    <xf numFmtId="14" fontId="0" fillId="0" borderId="0" xfId="0" applyNumberFormat="1" applyAlignment="1">
      <alignment horizontal="left"/>
    </xf>
    <xf numFmtId="44" fontId="10" fillId="4" borderId="10" xfId="2" applyFont="1" applyFill="1" applyBorder="1" applyAlignment="1">
      <alignment vertical="center"/>
    </xf>
    <xf numFmtId="44" fontId="0" fillId="0" borderId="0" xfId="2" applyFont="1"/>
    <xf numFmtId="164" fontId="0" fillId="0" borderId="0" xfId="2" applyNumberFormat="1" applyFont="1"/>
    <xf numFmtId="1" fontId="0" fillId="0" borderId="0" xfId="0" applyNumberFormat="1"/>
    <xf numFmtId="164" fontId="0" fillId="0" borderId="0" xfId="0" applyNumberFormat="1"/>
    <xf numFmtId="0" fontId="0" fillId="0" borderId="0" xfId="0" pivotButton="1"/>
    <xf numFmtId="0" fontId="11" fillId="5" borderId="0" xfId="3"/>
    <xf numFmtId="0" fontId="11" fillId="5" borderId="0" xfId="3" applyAlignment="1">
      <alignment horizontal="center"/>
    </xf>
  </cellXfs>
  <cellStyles count="4">
    <cellStyle name="Accent6" xfId="3" builtinId="49"/>
    <cellStyle name="Currency" xfId="2" builtinId="4"/>
    <cellStyle name="Hyperlink" xfId="1" builtinId="8"/>
    <cellStyle name="Normal" xfId="0" builtinId="0"/>
  </cellStyles>
  <dxfs count="10">
    <dxf>
      <numFmt numFmtId="0" formatCode="General"/>
    </dxf>
    <dxf>
      <numFmt numFmtId="164" formatCode="&quot;$&quot;#,##0"/>
    </dxf>
    <dxf>
      <numFmt numFmtId="1" formatCode="0"/>
    </dxf>
    <dxf>
      <numFmt numFmtId="164" formatCode="&quot;$&quot;#,##0"/>
    </dxf>
    <dxf>
      <alignment horizontal="center" vertical="bottom" textRotation="0" wrapText="0" indent="0" justifyLastLine="0" shrinkToFit="0" readingOrder="0"/>
    </dxf>
    <dxf>
      <numFmt numFmtId="19" formatCode="m/d/yyyy"/>
      <alignment horizontal="left"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lef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A8-452C-9C6E-526FD3549F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A8-452C-9C6E-526FD3549F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A8-452C-9C6E-526FD3549F99}"/>
              </c:ext>
            </c:extLst>
          </c:dPt>
          <c:cat>
            <c:strRef>
              <c:f>Sheet3!$A$4:$A$7</c:f>
              <c:strCache>
                <c:ptCount val="3"/>
                <c:pt idx="0">
                  <c:v> Credit Card</c:v>
                </c:pt>
                <c:pt idx="1">
                  <c:v> Cash</c:v>
                </c:pt>
                <c:pt idx="2">
                  <c:v> Gift Card</c:v>
                </c:pt>
              </c:strCache>
            </c:strRef>
          </c:cat>
          <c:val>
            <c:numRef>
              <c:f>Sheet3!$B$4:$B$7</c:f>
              <c:numCache>
                <c:formatCode>"$"#,##0</c:formatCode>
                <c:ptCount val="3"/>
                <c:pt idx="0">
                  <c:v>1088520</c:v>
                </c:pt>
                <c:pt idx="1">
                  <c:v>309088.8</c:v>
                </c:pt>
                <c:pt idx="2">
                  <c:v>34750</c:v>
                </c:pt>
              </c:numCache>
            </c:numRef>
          </c:val>
          <c:extLst>
            <c:ext xmlns:c16="http://schemas.microsoft.com/office/drawing/2014/chart" uri="{C3380CC4-5D6E-409C-BE32-E72D297353CC}">
              <c16:uniqueId val="{00000000-57D4-477C-B24B-FA58ECF778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6"/>
            </a:solidFill>
            <a:ln>
              <a:noFill/>
            </a:ln>
            <a:effectLst/>
            <a:sp3d/>
          </c:spPr>
          <c:invertIfNegative val="0"/>
          <c:cat>
            <c:strRef>
              <c:f>Sheet2!$A$4:$A$9</c:f>
              <c:strCache>
                <c:ptCount val="5"/>
                <c:pt idx="0">
                  <c:v>Walter Muller</c:v>
                </c:pt>
                <c:pt idx="1">
                  <c:v>Tom Jackson</c:v>
                </c:pt>
                <c:pt idx="2">
                  <c:v>Jenna Silva</c:v>
                </c:pt>
                <c:pt idx="3">
                  <c:v>Remy Monet</c:v>
                </c:pt>
                <c:pt idx="4">
                  <c:v>Anna Perez</c:v>
                </c:pt>
              </c:strCache>
            </c:strRef>
          </c:cat>
          <c:val>
            <c:numRef>
              <c:f>Sheet2!$B$4:$B$9</c:f>
              <c:numCache>
                <c:formatCode>"$"#,##0</c:formatCode>
                <c:ptCount val="5"/>
                <c:pt idx="0">
                  <c:v>40900</c:v>
                </c:pt>
                <c:pt idx="1">
                  <c:v>166336</c:v>
                </c:pt>
                <c:pt idx="2">
                  <c:v>225340</c:v>
                </c:pt>
                <c:pt idx="3">
                  <c:v>297258.8</c:v>
                </c:pt>
                <c:pt idx="4">
                  <c:v>702524</c:v>
                </c:pt>
              </c:numCache>
            </c:numRef>
          </c:val>
          <c:extLst>
            <c:ext xmlns:c16="http://schemas.microsoft.com/office/drawing/2014/chart" uri="{C3380CC4-5D6E-409C-BE32-E72D297353CC}">
              <c16:uniqueId val="{00000000-DA72-4A30-836B-9B361C5616F3}"/>
            </c:ext>
          </c:extLst>
        </c:ser>
        <c:dLbls>
          <c:showLegendKey val="0"/>
          <c:showVal val="0"/>
          <c:showCatName val="0"/>
          <c:showSerName val="0"/>
          <c:showPercent val="0"/>
          <c:showBubbleSize val="0"/>
        </c:dLbls>
        <c:gapWidth val="150"/>
        <c:shape val="box"/>
        <c:axId val="2084340863"/>
        <c:axId val="2084323103"/>
        <c:axId val="0"/>
      </c:bar3DChart>
      <c:catAx>
        <c:axId val="208434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3103"/>
        <c:crosses val="autoZero"/>
        <c:auto val="1"/>
        <c:lblAlgn val="ctr"/>
        <c:lblOffset val="100"/>
        <c:noMultiLvlLbl val="0"/>
      </c:catAx>
      <c:valAx>
        <c:axId val="2084323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[Start Data Analysis - new1.xlsx]Sheet4!PivotTable3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4"/>
            </a:solidFill>
            <a:ln>
              <a:noFill/>
            </a:ln>
            <a:effectLst/>
            <a:sp3d/>
          </c:spPr>
          <c:invertIfNegative val="0"/>
          <c:cat>
            <c:strRef>
              <c:f>Sheet4!$A$4:$A$24</c:f>
              <c:strCache>
                <c:ptCount val="20"/>
                <c:pt idx="0">
                  <c:v>6/13/2023</c:v>
                </c:pt>
                <c:pt idx="1">
                  <c:v>6/14/2023</c:v>
                </c:pt>
                <c:pt idx="2">
                  <c:v>6/18/2023</c:v>
                </c:pt>
                <c:pt idx="3">
                  <c:v>6/23/2023</c:v>
                </c:pt>
                <c:pt idx="4">
                  <c:v>6/21/2023</c:v>
                </c:pt>
                <c:pt idx="5">
                  <c:v>6/11/2023</c:v>
                </c:pt>
                <c:pt idx="6">
                  <c:v>6/17/2023</c:v>
                </c:pt>
                <c:pt idx="7">
                  <c:v>6/12/2023</c:v>
                </c:pt>
                <c:pt idx="8">
                  <c:v>6/19/2023</c:v>
                </c:pt>
                <c:pt idx="9">
                  <c:v>6/8/2023</c:v>
                </c:pt>
                <c:pt idx="10">
                  <c:v>6/22/2023</c:v>
                </c:pt>
                <c:pt idx="11">
                  <c:v>6/24/2023</c:v>
                </c:pt>
                <c:pt idx="12">
                  <c:v>6/9/2023</c:v>
                </c:pt>
                <c:pt idx="13">
                  <c:v>6/25/2023</c:v>
                </c:pt>
                <c:pt idx="14">
                  <c:v>6/26/2023</c:v>
                </c:pt>
                <c:pt idx="15">
                  <c:v>6/7/2023</c:v>
                </c:pt>
                <c:pt idx="16">
                  <c:v>6/16/2023</c:v>
                </c:pt>
                <c:pt idx="17">
                  <c:v>6/10/2023</c:v>
                </c:pt>
                <c:pt idx="18">
                  <c:v>6/15/2023</c:v>
                </c:pt>
                <c:pt idx="19">
                  <c:v>6/20/2023</c:v>
                </c:pt>
              </c:strCache>
            </c:strRef>
          </c:cat>
          <c:val>
            <c:numRef>
              <c:f>Sheet4!$B$4:$B$24</c:f>
              <c:numCache>
                <c:formatCode>General</c:formatCode>
                <c:ptCount val="20"/>
                <c:pt idx="0">
                  <c:v>7</c:v>
                </c:pt>
                <c:pt idx="1">
                  <c:v>6</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4</c:v>
                </c:pt>
                <c:pt idx="18">
                  <c:v>4</c:v>
                </c:pt>
                <c:pt idx="19">
                  <c:v>2</c:v>
                </c:pt>
              </c:numCache>
            </c:numRef>
          </c:val>
          <c:extLst>
            <c:ext xmlns:c16="http://schemas.microsoft.com/office/drawing/2014/chart" uri="{C3380CC4-5D6E-409C-BE32-E72D297353CC}">
              <c16:uniqueId val="{00000000-F464-43D4-8734-3E4A8CE51D6E}"/>
            </c:ext>
          </c:extLst>
        </c:ser>
        <c:dLbls>
          <c:showLegendKey val="0"/>
          <c:showVal val="0"/>
          <c:showCatName val="0"/>
          <c:showSerName val="0"/>
          <c:showPercent val="0"/>
          <c:showBubbleSize val="0"/>
        </c:dLbls>
        <c:gapWidth val="150"/>
        <c:shape val="box"/>
        <c:axId val="2084329823"/>
        <c:axId val="2084345663"/>
        <c:axId val="0"/>
      </c:bar3DChart>
      <c:catAx>
        <c:axId val="208432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5663"/>
        <c:crosses val="autoZero"/>
        <c:auto val="1"/>
        <c:lblAlgn val="ctr"/>
        <c:lblOffset val="100"/>
        <c:noMultiLvlLbl val="0"/>
      </c:catAx>
      <c:valAx>
        <c:axId val="208434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EC-4A5F-896C-1B13E77823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EC-4A5F-896C-1B13E7782375}"/>
              </c:ext>
            </c:extLst>
          </c:dPt>
          <c:cat>
            <c:strRef>
              <c:f>Sheet5!$A$4:$A$6</c:f>
              <c:strCache>
                <c:ptCount val="2"/>
                <c:pt idx="0">
                  <c:v>Female</c:v>
                </c:pt>
                <c:pt idx="1">
                  <c:v>Male</c:v>
                </c:pt>
              </c:strCache>
            </c:strRef>
          </c:cat>
          <c:val>
            <c:numRef>
              <c:f>Sheet5!$B$4:$B$6</c:f>
              <c:numCache>
                <c:formatCode>General</c:formatCode>
                <c:ptCount val="2"/>
                <c:pt idx="0">
                  <c:v>50</c:v>
                </c:pt>
                <c:pt idx="1">
                  <c:v>48</c:v>
                </c:pt>
              </c:numCache>
            </c:numRef>
          </c:val>
          <c:extLst>
            <c:ext xmlns:c16="http://schemas.microsoft.com/office/drawing/2014/chart" uri="{C3380CC4-5D6E-409C-BE32-E72D297353CC}">
              <c16:uniqueId val="{00000000-E8E5-47F4-BDF5-FBFF580B6A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[Start Data Analysis - new1.xlsx]Sheet6!PivotTable5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Sheet6!$A$4:$A$12</c:f>
              <c:strCache>
                <c:ptCount val="8"/>
                <c:pt idx="0">
                  <c:v>FR</c:v>
                </c:pt>
                <c:pt idx="1">
                  <c:v>IT</c:v>
                </c:pt>
                <c:pt idx="2">
                  <c:v>ES</c:v>
                </c:pt>
                <c:pt idx="3">
                  <c:v>JP</c:v>
                </c:pt>
                <c:pt idx="4">
                  <c:v>US</c:v>
                </c:pt>
                <c:pt idx="5">
                  <c:v>USA</c:v>
                </c:pt>
                <c:pt idx="6">
                  <c:v>UK</c:v>
                </c:pt>
                <c:pt idx="7">
                  <c:v>DE</c:v>
                </c:pt>
              </c:strCache>
            </c:strRef>
          </c:cat>
          <c:val>
            <c:numRef>
              <c:f>Sheet6!$B$4:$B$12</c:f>
              <c:numCache>
                <c:formatCode>"$"#,##0</c:formatCode>
                <c:ptCount val="8"/>
                <c:pt idx="0">
                  <c:v>309564</c:v>
                </c:pt>
                <c:pt idx="1">
                  <c:v>273392.8</c:v>
                </c:pt>
                <c:pt idx="2">
                  <c:v>224106</c:v>
                </c:pt>
                <c:pt idx="3">
                  <c:v>221566</c:v>
                </c:pt>
                <c:pt idx="4">
                  <c:v>218060</c:v>
                </c:pt>
                <c:pt idx="5">
                  <c:v>93020</c:v>
                </c:pt>
                <c:pt idx="6">
                  <c:v>88900</c:v>
                </c:pt>
                <c:pt idx="7">
                  <c:v>3750</c:v>
                </c:pt>
              </c:numCache>
            </c:numRef>
          </c:val>
          <c:smooth val="0"/>
          <c:extLst>
            <c:ext xmlns:c16="http://schemas.microsoft.com/office/drawing/2014/chart" uri="{C3380CC4-5D6E-409C-BE32-E72D297353CC}">
              <c16:uniqueId val="{00000000-F8BF-4490-905C-9F713751828D}"/>
            </c:ext>
          </c:extLst>
        </c:ser>
        <c:dLbls>
          <c:showLegendKey val="0"/>
          <c:showVal val="0"/>
          <c:showCatName val="0"/>
          <c:showSerName val="0"/>
          <c:showPercent val="0"/>
          <c:showBubbleSize val="0"/>
        </c:dLbls>
        <c:marker val="1"/>
        <c:smooth val="0"/>
        <c:axId val="2084349023"/>
        <c:axId val="2084349503"/>
      </c:lineChart>
      <c:catAx>
        <c:axId val="20843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503"/>
        <c:crosses val="autoZero"/>
        <c:auto val="1"/>
        <c:lblAlgn val="ctr"/>
        <c:lblOffset val="100"/>
        <c:noMultiLvlLbl val="0"/>
      </c:catAx>
      <c:valAx>
        <c:axId val="208434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[Start Data Analysis - new1.xlsx]Sheet9!PivotTable1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ivotFmts>
      <c:pivotFmt>
        <c:idx val="0"/>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Sheet9!$A$4:$A$6</c:f>
              <c:strCache>
                <c:ptCount val="2"/>
                <c:pt idx="0">
                  <c:v>Female</c:v>
                </c:pt>
                <c:pt idx="1">
                  <c:v>Male</c:v>
                </c:pt>
              </c:strCache>
            </c:strRef>
          </c:cat>
          <c:val>
            <c:numRef>
              <c:f>Sheet9!$B$4:$B$6</c:f>
              <c:numCache>
                <c:formatCode>"$"#,##0</c:formatCode>
                <c:ptCount val="2"/>
                <c:pt idx="0">
                  <c:v>741228.79999999993</c:v>
                </c:pt>
                <c:pt idx="1">
                  <c:v>691130</c:v>
                </c:pt>
              </c:numCache>
            </c:numRef>
          </c:val>
          <c:extLst>
            <c:ext xmlns:c16="http://schemas.microsoft.com/office/drawing/2014/chart" uri="{C3380CC4-5D6E-409C-BE32-E72D297353CC}">
              <c16:uniqueId val="{00000000-14CD-4162-9181-9E425027A004}"/>
            </c:ext>
          </c:extLst>
        </c:ser>
        <c:dLbls>
          <c:showLegendKey val="0"/>
          <c:showVal val="0"/>
          <c:showCatName val="0"/>
          <c:showSerName val="0"/>
          <c:showPercent val="0"/>
          <c:showBubbleSize val="0"/>
        </c:dLbls>
        <c:gapWidth val="150"/>
        <c:gapDepth val="0"/>
        <c:shape val="box"/>
        <c:axId val="1936912399"/>
        <c:axId val="1936910479"/>
        <c:axId val="0"/>
      </c:bar3DChart>
      <c:catAx>
        <c:axId val="193691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910479"/>
        <c:crosses val="autoZero"/>
        <c:auto val="1"/>
        <c:lblAlgn val="ctr"/>
        <c:lblOffset val="100"/>
        <c:noMultiLvlLbl val="0"/>
      </c:catAx>
      <c:valAx>
        <c:axId val="1936910479"/>
        <c:scaling>
          <c:orientation val="minMax"/>
        </c:scaling>
        <c:delete val="0"/>
        <c:axPos val="l"/>
        <c:majorGridlines>
          <c:spPr>
            <a:ln w="9525" cap="flat" cmpd="sng" algn="ctr">
              <a:solidFill>
                <a:schemeClr val="tx1">
                  <a:lumMod val="5000"/>
                  <a:lumOff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91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6"/>
            </a:solidFill>
            <a:ln>
              <a:noFill/>
            </a:ln>
            <a:effectLst/>
            <a:sp3d/>
          </c:spPr>
          <c:invertIfNegative val="0"/>
          <c:cat>
            <c:strRef>
              <c:f>Sheet2!$A$4:$A$9</c:f>
              <c:strCache>
                <c:ptCount val="5"/>
                <c:pt idx="0">
                  <c:v>Walter Muller</c:v>
                </c:pt>
                <c:pt idx="1">
                  <c:v>Tom Jackson</c:v>
                </c:pt>
                <c:pt idx="2">
                  <c:v>Jenna Silva</c:v>
                </c:pt>
                <c:pt idx="3">
                  <c:v>Remy Monet</c:v>
                </c:pt>
                <c:pt idx="4">
                  <c:v>Anna Perez</c:v>
                </c:pt>
              </c:strCache>
            </c:strRef>
          </c:cat>
          <c:val>
            <c:numRef>
              <c:f>Sheet2!$B$4:$B$9</c:f>
              <c:numCache>
                <c:formatCode>"$"#,##0</c:formatCode>
                <c:ptCount val="5"/>
                <c:pt idx="0">
                  <c:v>40900</c:v>
                </c:pt>
                <c:pt idx="1">
                  <c:v>166336</c:v>
                </c:pt>
                <c:pt idx="2">
                  <c:v>225340</c:v>
                </c:pt>
                <c:pt idx="3">
                  <c:v>297258.8</c:v>
                </c:pt>
                <c:pt idx="4">
                  <c:v>702524</c:v>
                </c:pt>
              </c:numCache>
            </c:numRef>
          </c:val>
          <c:extLst>
            <c:ext xmlns:c16="http://schemas.microsoft.com/office/drawing/2014/chart" uri="{C3380CC4-5D6E-409C-BE32-E72D297353CC}">
              <c16:uniqueId val="{00000000-5C1F-4BC2-8FD6-1E1FD9F54EF5}"/>
            </c:ext>
          </c:extLst>
        </c:ser>
        <c:dLbls>
          <c:showLegendKey val="0"/>
          <c:showVal val="0"/>
          <c:showCatName val="0"/>
          <c:showSerName val="0"/>
          <c:showPercent val="0"/>
          <c:showBubbleSize val="0"/>
        </c:dLbls>
        <c:gapWidth val="150"/>
        <c:shape val="box"/>
        <c:axId val="2084340863"/>
        <c:axId val="2084323103"/>
        <c:axId val="0"/>
      </c:bar3DChart>
      <c:catAx>
        <c:axId val="208434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3103"/>
        <c:crosses val="autoZero"/>
        <c:auto val="1"/>
        <c:lblAlgn val="ctr"/>
        <c:lblOffset val="100"/>
        <c:noMultiLvlLbl val="0"/>
      </c:catAx>
      <c:valAx>
        <c:axId val="2084323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F39-4E94-8993-3805CE51E3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F39-4E94-8993-3805CE51E3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F39-4E94-8993-3805CE51E3F4}"/>
              </c:ext>
            </c:extLst>
          </c:dPt>
          <c:cat>
            <c:strRef>
              <c:f>Sheet3!$A$4:$A$7</c:f>
              <c:strCache>
                <c:ptCount val="3"/>
                <c:pt idx="0">
                  <c:v> Credit Card</c:v>
                </c:pt>
                <c:pt idx="1">
                  <c:v> Cash</c:v>
                </c:pt>
                <c:pt idx="2">
                  <c:v> Gift Card</c:v>
                </c:pt>
              </c:strCache>
            </c:strRef>
          </c:cat>
          <c:val>
            <c:numRef>
              <c:f>Sheet3!$B$4:$B$7</c:f>
              <c:numCache>
                <c:formatCode>"$"#,##0</c:formatCode>
                <c:ptCount val="3"/>
                <c:pt idx="0">
                  <c:v>1088520</c:v>
                </c:pt>
                <c:pt idx="1">
                  <c:v>309088.8</c:v>
                </c:pt>
                <c:pt idx="2">
                  <c:v>34750</c:v>
                </c:pt>
              </c:numCache>
            </c:numRef>
          </c:val>
          <c:extLst>
            <c:ext xmlns:c16="http://schemas.microsoft.com/office/drawing/2014/chart" uri="{C3380CC4-5D6E-409C-BE32-E72D297353CC}">
              <c16:uniqueId val="{00000006-8F39-4E94-8993-3805CE51E3F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[Start Data Analysis - new1.xlsx]Sheet4!PivotTable3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4"/>
            </a:solidFill>
            <a:ln>
              <a:noFill/>
            </a:ln>
            <a:effectLst/>
            <a:sp3d/>
          </c:spPr>
          <c:invertIfNegative val="0"/>
          <c:cat>
            <c:strRef>
              <c:f>Sheet4!$A$4:$A$24</c:f>
              <c:strCache>
                <c:ptCount val="20"/>
                <c:pt idx="0">
                  <c:v>6/13/2023</c:v>
                </c:pt>
                <c:pt idx="1">
                  <c:v>6/14/2023</c:v>
                </c:pt>
                <c:pt idx="2">
                  <c:v>6/18/2023</c:v>
                </c:pt>
                <c:pt idx="3">
                  <c:v>6/23/2023</c:v>
                </c:pt>
                <c:pt idx="4">
                  <c:v>6/21/2023</c:v>
                </c:pt>
                <c:pt idx="5">
                  <c:v>6/11/2023</c:v>
                </c:pt>
                <c:pt idx="6">
                  <c:v>6/17/2023</c:v>
                </c:pt>
                <c:pt idx="7">
                  <c:v>6/12/2023</c:v>
                </c:pt>
                <c:pt idx="8">
                  <c:v>6/19/2023</c:v>
                </c:pt>
                <c:pt idx="9">
                  <c:v>6/8/2023</c:v>
                </c:pt>
                <c:pt idx="10">
                  <c:v>6/22/2023</c:v>
                </c:pt>
                <c:pt idx="11">
                  <c:v>6/24/2023</c:v>
                </c:pt>
                <c:pt idx="12">
                  <c:v>6/9/2023</c:v>
                </c:pt>
                <c:pt idx="13">
                  <c:v>6/25/2023</c:v>
                </c:pt>
                <c:pt idx="14">
                  <c:v>6/26/2023</c:v>
                </c:pt>
                <c:pt idx="15">
                  <c:v>6/7/2023</c:v>
                </c:pt>
                <c:pt idx="16">
                  <c:v>6/16/2023</c:v>
                </c:pt>
                <c:pt idx="17">
                  <c:v>6/10/2023</c:v>
                </c:pt>
                <c:pt idx="18">
                  <c:v>6/15/2023</c:v>
                </c:pt>
                <c:pt idx="19">
                  <c:v>6/20/2023</c:v>
                </c:pt>
              </c:strCache>
            </c:strRef>
          </c:cat>
          <c:val>
            <c:numRef>
              <c:f>Sheet4!$B$4:$B$24</c:f>
              <c:numCache>
                <c:formatCode>General</c:formatCode>
                <c:ptCount val="20"/>
                <c:pt idx="0">
                  <c:v>7</c:v>
                </c:pt>
                <c:pt idx="1">
                  <c:v>6</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4</c:v>
                </c:pt>
                <c:pt idx="18">
                  <c:v>4</c:v>
                </c:pt>
                <c:pt idx="19">
                  <c:v>2</c:v>
                </c:pt>
              </c:numCache>
            </c:numRef>
          </c:val>
          <c:extLst>
            <c:ext xmlns:c16="http://schemas.microsoft.com/office/drawing/2014/chart" uri="{C3380CC4-5D6E-409C-BE32-E72D297353CC}">
              <c16:uniqueId val="{00000000-8A7D-41DF-84B2-BE5D66BFF83F}"/>
            </c:ext>
          </c:extLst>
        </c:ser>
        <c:dLbls>
          <c:showLegendKey val="0"/>
          <c:showVal val="0"/>
          <c:showCatName val="0"/>
          <c:showSerName val="0"/>
          <c:showPercent val="0"/>
          <c:showBubbleSize val="0"/>
        </c:dLbls>
        <c:gapWidth val="150"/>
        <c:shape val="box"/>
        <c:axId val="2084329823"/>
        <c:axId val="2084345663"/>
        <c:axId val="0"/>
      </c:bar3DChart>
      <c:catAx>
        <c:axId val="208432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5663"/>
        <c:crosses val="autoZero"/>
        <c:auto val="1"/>
        <c:lblAlgn val="ctr"/>
        <c:lblOffset val="100"/>
        <c:noMultiLvlLbl val="0"/>
      </c:catAx>
      <c:valAx>
        <c:axId val="208434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[Start Data Analysis - new1.xlsx]Sheet6!PivotTable5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Sheet6!$A$4:$A$12</c:f>
              <c:strCache>
                <c:ptCount val="8"/>
                <c:pt idx="0">
                  <c:v>FR</c:v>
                </c:pt>
                <c:pt idx="1">
                  <c:v>IT</c:v>
                </c:pt>
                <c:pt idx="2">
                  <c:v>ES</c:v>
                </c:pt>
                <c:pt idx="3">
                  <c:v>JP</c:v>
                </c:pt>
                <c:pt idx="4">
                  <c:v>US</c:v>
                </c:pt>
                <c:pt idx="5">
                  <c:v>USA</c:v>
                </c:pt>
                <c:pt idx="6">
                  <c:v>UK</c:v>
                </c:pt>
                <c:pt idx="7">
                  <c:v>DE</c:v>
                </c:pt>
              </c:strCache>
            </c:strRef>
          </c:cat>
          <c:val>
            <c:numRef>
              <c:f>Sheet6!$B$4:$B$12</c:f>
              <c:numCache>
                <c:formatCode>"$"#,##0</c:formatCode>
                <c:ptCount val="8"/>
                <c:pt idx="0">
                  <c:v>309564</c:v>
                </c:pt>
                <c:pt idx="1">
                  <c:v>273392.8</c:v>
                </c:pt>
                <c:pt idx="2">
                  <c:v>224106</c:v>
                </c:pt>
                <c:pt idx="3">
                  <c:v>221566</c:v>
                </c:pt>
                <c:pt idx="4">
                  <c:v>218060</c:v>
                </c:pt>
                <c:pt idx="5">
                  <c:v>93020</c:v>
                </c:pt>
                <c:pt idx="6">
                  <c:v>88900</c:v>
                </c:pt>
                <c:pt idx="7">
                  <c:v>3750</c:v>
                </c:pt>
              </c:numCache>
            </c:numRef>
          </c:val>
          <c:smooth val="0"/>
          <c:extLst>
            <c:ext xmlns:c16="http://schemas.microsoft.com/office/drawing/2014/chart" uri="{C3380CC4-5D6E-409C-BE32-E72D297353CC}">
              <c16:uniqueId val="{00000000-9B09-486E-85F7-0F2E0ECD3B85}"/>
            </c:ext>
          </c:extLst>
        </c:ser>
        <c:dLbls>
          <c:showLegendKey val="0"/>
          <c:showVal val="0"/>
          <c:showCatName val="0"/>
          <c:showSerName val="0"/>
          <c:showPercent val="0"/>
          <c:showBubbleSize val="0"/>
        </c:dLbls>
        <c:marker val="1"/>
        <c:smooth val="0"/>
        <c:axId val="2084349023"/>
        <c:axId val="2084349503"/>
      </c:lineChart>
      <c:catAx>
        <c:axId val="20843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503"/>
        <c:crosses val="autoZero"/>
        <c:auto val="1"/>
        <c:lblAlgn val="ctr"/>
        <c:lblOffset val="100"/>
        <c:noMultiLvlLbl val="0"/>
      </c:catAx>
      <c:valAx>
        <c:axId val="208434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new1.xlsx]Sheet5!PivotTable4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26-44BE-92EA-17278D4674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26-44BE-92EA-17278D46744C}"/>
              </c:ext>
            </c:extLst>
          </c:dPt>
          <c:cat>
            <c:strRef>
              <c:f>Sheet5!$A$4:$A$6</c:f>
              <c:strCache>
                <c:ptCount val="2"/>
                <c:pt idx="0">
                  <c:v>Female</c:v>
                </c:pt>
                <c:pt idx="1">
                  <c:v>Male</c:v>
                </c:pt>
              </c:strCache>
            </c:strRef>
          </c:cat>
          <c:val>
            <c:numRef>
              <c:f>Sheet5!$B$4:$B$6</c:f>
              <c:numCache>
                <c:formatCode>General</c:formatCode>
                <c:ptCount val="2"/>
                <c:pt idx="0">
                  <c:v>50</c:v>
                </c:pt>
                <c:pt idx="1">
                  <c:v>48</c:v>
                </c:pt>
              </c:numCache>
            </c:numRef>
          </c:val>
          <c:extLst>
            <c:ext xmlns:c16="http://schemas.microsoft.com/office/drawing/2014/chart" uri="{C3380CC4-5D6E-409C-BE32-E72D297353CC}">
              <c16:uniqueId val="{00000004-FB26-44BE-92EA-17278D4674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SALESPERSON</a:t>
            </a:r>
            <a:endParaRPr lang="en-NG"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6"/>
            </a:solidFill>
            <a:ln>
              <a:noFill/>
            </a:ln>
            <a:effectLst/>
            <a:sp3d/>
          </c:spPr>
          <c:invertIfNegative val="0"/>
          <c:cat>
            <c:strRef>
              <c:f>Sheet2!$A$4:$A$9</c:f>
              <c:strCache>
                <c:ptCount val="5"/>
                <c:pt idx="0">
                  <c:v>Walter Muller</c:v>
                </c:pt>
                <c:pt idx="1">
                  <c:v>Tom Jackson</c:v>
                </c:pt>
                <c:pt idx="2">
                  <c:v>Jenna Silva</c:v>
                </c:pt>
                <c:pt idx="3">
                  <c:v>Remy Monet</c:v>
                </c:pt>
                <c:pt idx="4">
                  <c:v>Anna Perez</c:v>
                </c:pt>
              </c:strCache>
            </c:strRef>
          </c:cat>
          <c:val>
            <c:numRef>
              <c:f>Sheet2!$B$4:$B$9</c:f>
              <c:numCache>
                <c:formatCode>"$"#,##0</c:formatCode>
                <c:ptCount val="5"/>
                <c:pt idx="0">
                  <c:v>40900</c:v>
                </c:pt>
                <c:pt idx="1">
                  <c:v>166336</c:v>
                </c:pt>
                <c:pt idx="2">
                  <c:v>225340</c:v>
                </c:pt>
                <c:pt idx="3">
                  <c:v>297258.8</c:v>
                </c:pt>
                <c:pt idx="4">
                  <c:v>702524</c:v>
                </c:pt>
              </c:numCache>
            </c:numRef>
          </c:val>
          <c:extLst>
            <c:ext xmlns:c16="http://schemas.microsoft.com/office/drawing/2014/chart" uri="{C3380CC4-5D6E-409C-BE32-E72D297353CC}">
              <c16:uniqueId val="{00000000-CFCC-4C9D-A440-82DBE8EE9EAA}"/>
            </c:ext>
          </c:extLst>
        </c:ser>
        <c:dLbls>
          <c:showLegendKey val="0"/>
          <c:showVal val="0"/>
          <c:showCatName val="0"/>
          <c:showSerName val="0"/>
          <c:showPercent val="0"/>
          <c:showBubbleSize val="0"/>
        </c:dLbls>
        <c:gapWidth val="150"/>
        <c:shape val="box"/>
        <c:axId val="2084340863"/>
        <c:axId val="2084323103"/>
        <c:axId val="0"/>
      </c:bar3DChart>
      <c:catAx>
        <c:axId val="208434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SALESPERSON</a:t>
                </a:r>
                <a:endParaRPr lang="en-N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3103"/>
        <c:crosses val="autoZero"/>
        <c:auto val="1"/>
        <c:lblAlgn val="ctr"/>
        <c:lblOffset val="100"/>
        <c:noMultiLvlLbl val="0"/>
      </c:catAx>
      <c:valAx>
        <c:axId val="208432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endParaRPr lang="en-NG"/>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[Start Data Analysis - new1.xlsx]Sheet4!PivotTable3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COUNT OF ORDER 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4"/>
            </a:solidFill>
            <a:ln>
              <a:noFill/>
            </a:ln>
            <a:effectLst/>
            <a:sp3d/>
          </c:spPr>
          <c:invertIfNegative val="0"/>
          <c:cat>
            <c:strRef>
              <c:f>Sheet4!$A$4:$A$24</c:f>
              <c:strCache>
                <c:ptCount val="20"/>
                <c:pt idx="0">
                  <c:v>6/13/2023</c:v>
                </c:pt>
                <c:pt idx="1">
                  <c:v>6/14/2023</c:v>
                </c:pt>
                <c:pt idx="2">
                  <c:v>6/18/2023</c:v>
                </c:pt>
                <c:pt idx="3">
                  <c:v>6/23/2023</c:v>
                </c:pt>
                <c:pt idx="4">
                  <c:v>6/21/2023</c:v>
                </c:pt>
                <c:pt idx="5">
                  <c:v>6/11/2023</c:v>
                </c:pt>
                <c:pt idx="6">
                  <c:v>6/17/2023</c:v>
                </c:pt>
                <c:pt idx="7">
                  <c:v>6/12/2023</c:v>
                </c:pt>
                <c:pt idx="8">
                  <c:v>6/19/2023</c:v>
                </c:pt>
                <c:pt idx="9">
                  <c:v>6/8/2023</c:v>
                </c:pt>
                <c:pt idx="10">
                  <c:v>6/22/2023</c:v>
                </c:pt>
                <c:pt idx="11">
                  <c:v>6/24/2023</c:v>
                </c:pt>
                <c:pt idx="12">
                  <c:v>6/9/2023</c:v>
                </c:pt>
                <c:pt idx="13">
                  <c:v>6/25/2023</c:v>
                </c:pt>
                <c:pt idx="14">
                  <c:v>6/26/2023</c:v>
                </c:pt>
                <c:pt idx="15">
                  <c:v>6/7/2023</c:v>
                </c:pt>
                <c:pt idx="16">
                  <c:v>6/16/2023</c:v>
                </c:pt>
                <c:pt idx="17">
                  <c:v>6/10/2023</c:v>
                </c:pt>
                <c:pt idx="18">
                  <c:v>6/15/2023</c:v>
                </c:pt>
                <c:pt idx="19">
                  <c:v>6/20/2023</c:v>
                </c:pt>
              </c:strCache>
            </c:strRef>
          </c:cat>
          <c:val>
            <c:numRef>
              <c:f>Sheet4!$B$4:$B$24</c:f>
              <c:numCache>
                <c:formatCode>General</c:formatCode>
                <c:ptCount val="20"/>
                <c:pt idx="0">
                  <c:v>7</c:v>
                </c:pt>
                <c:pt idx="1">
                  <c:v>6</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4</c:v>
                </c:pt>
                <c:pt idx="18">
                  <c:v>4</c:v>
                </c:pt>
                <c:pt idx="19">
                  <c:v>2</c:v>
                </c:pt>
              </c:numCache>
            </c:numRef>
          </c:val>
          <c:extLst>
            <c:ext xmlns:c16="http://schemas.microsoft.com/office/drawing/2014/chart" uri="{C3380CC4-5D6E-409C-BE32-E72D297353CC}">
              <c16:uniqueId val="{00000000-832B-413F-BB38-1F80264840A1}"/>
            </c:ext>
          </c:extLst>
        </c:ser>
        <c:dLbls>
          <c:showLegendKey val="0"/>
          <c:showVal val="0"/>
          <c:showCatName val="0"/>
          <c:showSerName val="0"/>
          <c:showPercent val="0"/>
          <c:showBubbleSize val="0"/>
        </c:dLbls>
        <c:gapWidth val="150"/>
        <c:shape val="box"/>
        <c:axId val="2084329823"/>
        <c:axId val="2084345663"/>
        <c:axId val="0"/>
      </c:bar3DChart>
      <c:catAx>
        <c:axId val="2084329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5663"/>
        <c:crosses val="autoZero"/>
        <c:auto val="1"/>
        <c:lblAlgn val="ctr"/>
        <c:lblOffset val="100"/>
        <c:noMultiLvlLbl val="0"/>
      </c:catAx>
      <c:valAx>
        <c:axId val="208434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2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a:t>
            </a:r>
            <a:r>
              <a:rPr lang="en-US" sz="1400" b="1" baseline="0"/>
              <a:t> BY PAYMENT METHOD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4D-4173-950E-2820B314DC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4D-4173-950E-2820B314DCC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4D-4173-950E-2820B314DCCE}"/>
              </c:ext>
            </c:extLst>
          </c:dPt>
          <c:cat>
            <c:strRef>
              <c:f>Sheet3!$A$4:$A$7</c:f>
              <c:strCache>
                <c:ptCount val="3"/>
                <c:pt idx="0">
                  <c:v> Credit Card</c:v>
                </c:pt>
                <c:pt idx="1">
                  <c:v> Cash</c:v>
                </c:pt>
                <c:pt idx="2">
                  <c:v> Gift Card</c:v>
                </c:pt>
              </c:strCache>
            </c:strRef>
          </c:cat>
          <c:val>
            <c:numRef>
              <c:f>Sheet3!$B$4:$B$7</c:f>
              <c:numCache>
                <c:formatCode>"$"#,##0</c:formatCode>
                <c:ptCount val="3"/>
                <c:pt idx="0">
                  <c:v>1088520</c:v>
                </c:pt>
                <c:pt idx="1">
                  <c:v>309088.8</c:v>
                </c:pt>
                <c:pt idx="2">
                  <c:v>34750</c:v>
                </c:pt>
              </c:numCache>
            </c:numRef>
          </c:val>
          <c:extLst>
            <c:ext xmlns:c16="http://schemas.microsoft.com/office/drawing/2014/chart" uri="{C3380CC4-5D6E-409C-BE32-E72D297353CC}">
              <c16:uniqueId val="{00000006-924D-4173-950E-2820B314DCC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 Data Analysis - new1.xlsx]Sheet5!PivotTable4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COUNT</a:t>
            </a:r>
            <a:r>
              <a:rPr lang="en-US" sz="1600" b="1" baseline="0"/>
              <a:t> OF AGE BY GENDER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A2-4E5D-B055-961E7A8D2F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A2-4E5D-B055-961E7A8D2F39}"/>
              </c:ext>
            </c:extLst>
          </c:dPt>
          <c:cat>
            <c:strRef>
              <c:f>Sheet5!$A$4:$A$6</c:f>
              <c:strCache>
                <c:ptCount val="2"/>
                <c:pt idx="0">
                  <c:v>Female</c:v>
                </c:pt>
                <c:pt idx="1">
                  <c:v>Male</c:v>
                </c:pt>
              </c:strCache>
            </c:strRef>
          </c:cat>
          <c:val>
            <c:numRef>
              <c:f>Sheet5!$B$4:$B$6</c:f>
              <c:numCache>
                <c:formatCode>General</c:formatCode>
                <c:ptCount val="2"/>
                <c:pt idx="0">
                  <c:v>50</c:v>
                </c:pt>
                <c:pt idx="1">
                  <c:v>48</c:v>
                </c:pt>
              </c:numCache>
            </c:numRef>
          </c:val>
          <c:extLst>
            <c:ext xmlns:c16="http://schemas.microsoft.com/office/drawing/2014/chart" uri="{C3380CC4-5D6E-409C-BE32-E72D297353CC}">
              <c16:uniqueId val="{00000004-93A2-4E5D-B055-961E7A8D2F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[Start Data Analysis - new1.xlsx]Sheet9!PivotTable1</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ivotFmts>
      <c:pivotFmt>
        <c:idx val="0"/>
        <c:spPr>
          <a:gradFill flip="none" rotWithShape="1">
            <a:gsLst>
              <a:gs pos="100000">
                <a:schemeClr val="accent3">
                  <a:alpha val="0"/>
                </a:schemeClr>
              </a:gs>
              <a:gs pos="50000">
                <a:schemeClr val="accent3"/>
              </a:gs>
            </a:gsLst>
            <a:lin ang="5400000" scaled="0"/>
          </a:gradFill>
          <a:ln>
            <a:noFill/>
          </a:ln>
          <a:effectLst/>
          <a:sp3d/>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gradFill>
              <a:gsLst>
                <a:gs pos="100000">
                  <a:schemeClr val="accent3">
                    <a:alpha val="0"/>
                  </a:schemeClr>
                </a:gs>
                <a:gs pos="50000">
                  <a:schemeClr val="accent3"/>
                </a:gs>
              </a:gsLst>
              <a:lin ang="5400000" scaled="0"/>
            </a:gradFill>
            <a:ln>
              <a:noFill/>
            </a:ln>
            <a:effectLst/>
            <a:sp3d/>
          </c:spPr>
          <c:invertIfNegative val="0"/>
          <c:cat>
            <c:strRef>
              <c:f>Sheet9!$A$4:$A$6</c:f>
              <c:strCache>
                <c:ptCount val="2"/>
                <c:pt idx="0">
                  <c:v>Female</c:v>
                </c:pt>
                <c:pt idx="1">
                  <c:v>Male</c:v>
                </c:pt>
              </c:strCache>
            </c:strRef>
          </c:cat>
          <c:val>
            <c:numRef>
              <c:f>Sheet9!$B$4:$B$6</c:f>
              <c:numCache>
                <c:formatCode>"$"#,##0</c:formatCode>
                <c:ptCount val="2"/>
                <c:pt idx="0">
                  <c:v>741228.79999999993</c:v>
                </c:pt>
                <c:pt idx="1">
                  <c:v>691130</c:v>
                </c:pt>
              </c:numCache>
            </c:numRef>
          </c:val>
          <c:extLst>
            <c:ext xmlns:c16="http://schemas.microsoft.com/office/drawing/2014/chart" uri="{C3380CC4-5D6E-409C-BE32-E72D297353CC}">
              <c16:uniqueId val="{00000000-FEA3-442A-B014-6DAB4C4CA0F3}"/>
            </c:ext>
          </c:extLst>
        </c:ser>
        <c:dLbls>
          <c:showLegendKey val="0"/>
          <c:showVal val="0"/>
          <c:showCatName val="0"/>
          <c:showSerName val="0"/>
          <c:showPercent val="0"/>
          <c:showBubbleSize val="0"/>
        </c:dLbls>
        <c:gapWidth val="150"/>
        <c:gapDepth val="0"/>
        <c:shape val="box"/>
        <c:axId val="1936912399"/>
        <c:axId val="1936910479"/>
        <c:axId val="0"/>
      </c:bar3DChart>
      <c:catAx>
        <c:axId val="1936912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910479"/>
        <c:crosses val="autoZero"/>
        <c:auto val="1"/>
        <c:lblAlgn val="ctr"/>
        <c:lblOffset val="100"/>
        <c:noMultiLvlLbl val="0"/>
      </c:catAx>
      <c:valAx>
        <c:axId val="19369104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91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[Start Data Analysis - new1.xlsx]Sheet6!PivotTable5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Sheet6!$A$4:$A$12</c:f>
              <c:strCache>
                <c:ptCount val="8"/>
                <c:pt idx="0">
                  <c:v>FR</c:v>
                </c:pt>
                <c:pt idx="1">
                  <c:v>IT</c:v>
                </c:pt>
                <c:pt idx="2">
                  <c:v>ES</c:v>
                </c:pt>
                <c:pt idx="3">
                  <c:v>JP</c:v>
                </c:pt>
                <c:pt idx="4">
                  <c:v>US</c:v>
                </c:pt>
                <c:pt idx="5">
                  <c:v>USA</c:v>
                </c:pt>
                <c:pt idx="6">
                  <c:v>UK</c:v>
                </c:pt>
                <c:pt idx="7">
                  <c:v>DE</c:v>
                </c:pt>
              </c:strCache>
            </c:strRef>
          </c:cat>
          <c:val>
            <c:numRef>
              <c:f>Sheet6!$B$4:$B$12</c:f>
              <c:numCache>
                <c:formatCode>"$"#,##0</c:formatCode>
                <c:ptCount val="8"/>
                <c:pt idx="0">
                  <c:v>309564</c:v>
                </c:pt>
                <c:pt idx="1">
                  <c:v>273392.8</c:v>
                </c:pt>
                <c:pt idx="2">
                  <c:v>224106</c:v>
                </c:pt>
                <c:pt idx="3">
                  <c:v>221566</c:v>
                </c:pt>
                <c:pt idx="4">
                  <c:v>218060</c:v>
                </c:pt>
                <c:pt idx="5">
                  <c:v>93020</c:v>
                </c:pt>
                <c:pt idx="6">
                  <c:v>88900</c:v>
                </c:pt>
                <c:pt idx="7">
                  <c:v>3750</c:v>
                </c:pt>
              </c:numCache>
            </c:numRef>
          </c:val>
          <c:smooth val="0"/>
          <c:extLst>
            <c:ext xmlns:c16="http://schemas.microsoft.com/office/drawing/2014/chart" uri="{C3380CC4-5D6E-409C-BE32-E72D297353CC}">
              <c16:uniqueId val="{00000000-8A4B-4951-A249-F88D528F1769}"/>
            </c:ext>
          </c:extLst>
        </c:ser>
        <c:dLbls>
          <c:showLegendKey val="0"/>
          <c:showVal val="0"/>
          <c:showCatName val="0"/>
          <c:showSerName val="0"/>
          <c:showPercent val="0"/>
          <c:showBubbleSize val="0"/>
        </c:dLbls>
        <c:marker val="1"/>
        <c:smooth val="0"/>
        <c:axId val="2084349023"/>
        <c:axId val="2084349503"/>
      </c:lineChart>
      <c:catAx>
        <c:axId val="20843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503"/>
        <c:crosses val="autoZero"/>
        <c:auto val="1"/>
        <c:lblAlgn val="ctr"/>
        <c:lblOffset val="100"/>
        <c:noMultiLvlLbl val="0"/>
      </c:catAx>
      <c:valAx>
        <c:axId val="2084349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8434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3">
  <a:schemeClr val="accent3"/>
</cs:colorStyle>
</file>

<file path=xl/charts/colors1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image" Target="../media/image2.jp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7CC01BC4-C388-40B2-B1D7-4F25A83B8E88}"/>
            </a:ext>
          </a:extLst>
        </xdr:cNvPr>
        <xdr:cNvPicPr>
          <a:picLocks noChangeAspect="1"/>
        </xdr:cNvPicPr>
      </xdr:nvPicPr>
      <xdr:blipFill>
        <a:blip xmlns:r="http://schemas.openxmlformats.org/officeDocument/2006/relationships" r:embed="rId2"/>
        <a:stretch>
          <a:fillRect/>
        </a:stretch>
      </xdr:blipFill>
      <xdr:spPr>
        <a:xfrm>
          <a:off x="3682232" y="1224967"/>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2</xdr:col>
      <xdr:colOff>252412</xdr:colOff>
      <xdr:row>2</xdr:row>
      <xdr:rowOff>171450</xdr:rowOff>
    </xdr:from>
    <xdr:to>
      <xdr:col>9</xdr:col>
      <xdr:colOff>23812</xdr:colOff>
      <xdr:row>16</xdr:row>
      <xdr:rowOff>114300</xdr:rowOff>
    </xdr:to>
    <xdr:graphicFrame macro="">
      <xdr:nvGraphicFramePr>
        <xdr:cNvPr id="2" name="Chart 1">
          <a:extLst>
            <a:ext uri="{FF2B5EF4-FFF2-40B4-BE49-F238E27FC236}">
              <a16:creationId xmlns:a16="http://schemas.microsoft.com/office/drawing/2014/main" id="{3CBF8611-1F18-01C5-9BD1-4167BDEED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xdr:colOff>
      <xdr:row>3</xdr:row>
      <xdr:rowOff>66675</xdr:rowOff>
    </xdr:from>
    <xdr:to>
      <xdr:col>9</xdr:col>
      <xdr:colOff>481012</xdr:colOff>
      <xdr:row>17</xdr:row>
      <xdr:rowOff>9525</xdr:rowOff>
    </xdr:to>
    <xdr:graphicFrame macro="">
      <xdr:nvGraphicFramePr>
        <xdr:cNvPr id="2" name="Chart 1">
          <a:extLst>
            <a:ext uri="{FF2B5EF4-FFF2-40B4-BE49-F238E27FC236}">
              <a16:creationId xmlns:a16="http://schemas.microsoft.com/office/drawing/2014/main" id="{1CEB6534-3DE7-1712-D1F9-179B2EB5F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138112</xdr:colOff>
      <xdr:row>3</xdr:row>
      <xdr:rowOff>57150</xdr:rowOff>
    </xdr:from>
    <xdr:to>
      <xdr:col>8</xdr:col>
      <xdr:colOff>595312</xdr:colOff>
      <xdr:row>17</xdr:row>
      <xdr:rowOff>0</xdr:rowOff>
    </xdr:to>
    <xdr:graphicFrame macro="">
      <xdr:nvGraphicFramePr>
        <xdr:cNvPr id="2" name="Chart 1">
          <a:extLst>
            <a:ext uri="{FF2B5EF4-FFF2-40B4-BE49-F238E27FC236}">
              <a16:creationId xmlns:a16="http://schemas.microsoft.com/office/drawing/2014/main" id="{831A6A18-D25F-AD13-1383-5D0BF5A7F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452437</xdr:colOff>
      <xdr:row>3</xdr:row>
      <xdr:rowOff>95250</xdr:rowOff>
    </xdr:from>
    <xdr:to>
      <xdr:col>9</xdr:col>
      <xdr:colOff>85725</xdr:colOff>
      <xdr:row>17</xdr:row>
      <xdr:rowOff>0</xdr:rowOff>
    </xdr:to>
    <xdr:graphicFrame macro="">
      <xdr:nvGraphicFramePr>
        <xdr:cNvPr id="2" name="Chart 1">
          <a:extLst>
            <a:ext uri="{FF2B5EF4-FFF2-40B4-BE49-F238E27FC236}">
              <a16:creationId xmlns:a16="http://schemas.microsoft.com/office/drawing/2014/main" id="{0835556D-F13F-BF08-D63F-1AAA7BE96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414337</xdr:colOff>
      <xdr:row>2</xdr:row>
      <xdr:rowOff>66675</xdr:rowOff>
    </xdr:from>
    <xdr:to>
      <xdr:col>9</xdr:col>
      <xdr:colOff>185737</xdr:colOff>
      <xdr:row>16</xdr:row>
      <xdr:rowOff>9525</xdr:rowOff>
    </xdr:to>
    <xdr:graphicFrame macro="">
      <xdr:nvGraphicFramePr>
        <xdr:cNvPr id="2" name="Chart 1">
          <a:extLst>
            <a:ext uri="{FF2B5EF4-FFF2-40B4-BE49-F238E27FC236}">
              <a16:creationId xmlns:a16="http://schemas.microsoft.com/office/drawing/2014/main" id="{2E6AAA86-E603-D1D8-447D-851180839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233362</xdr:colOff>
      <xdr:row>4</xdr:row>
      <xdr:rowOff>52387</xdr:rowOff>
    </xdr:from>
    <xdr:to>
      <xdr:col>9</xdr:col>
      <xdr:colOff>4762</xdr:colOff>
      <xdr:row>17</xdr:row>
      <xdr:rowOff>195262</xdr:rowOff>
    </xdr:to>
    <xdr:graphicFrame macro="">
      <xdr:nvGraphicFramePr>
        <xdr:cNvPr id="2" name="Chart 1">
          <a:extLst>
            <a:ext uri="{FF2B5EF4-FFF2-40B4-BE49-F238E27FC236}">
              <a16:creationId xmlns:a16="http://schemas.microsoft.com/office/drawing/2014/main" id="{9CB4D8E8-AE4F-1879-18C4-FDEAA578A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19051</xdr:colOff>
      <xdr:row>2</xdr:row>
      <xdr:rowOff>9525</xdr:rowOff>
    </xdr:from>
    <xdr:to>
      <xdr:col>4</xdr:col>
      <xdr:colOff>400051</xdr:colOff>
      <xdr:row>14</xdr:row>
      <xdr:rowOff>171450</xdr:rowOff>
    </xdr:to>
    <xdr:graphicFrame macro="">
      <xdr:nvGraphicFramePr>
        <xdr:cNvPr id="2" name="Chart 1">
          <a:extLst>
            <a:ext uri="{FF2B5EF4-FFF2-40B4-BE49-F238E27FC236}">
              <a16:creationId xmlns:a16="http://schemas.microsoft.com/office/drawing/2014/main" id="{8ABEEA58-585D-485F-8757-7FCA9857E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409575</xdr:colOff>
      <xdr:row>2</xdr:row>
      <xdr:rowOff>9526</xdr:rowOff>
    </xdr:from>
    <xdr:to>
      <xdr:col>9</xdr:col>
      <xdr:colOff>200025</xdr:colOff>
      <xdr:row>14</xdr:row>
      <xdr:rowOff>180975</xdr:rowOff>
    </xdr:to>
    <xdr:graphicFrame macro="">
      <xdr:nvGraphicFramePr>
        <xdr:cNvPr id="3" name="Chart 2">
          <a:extLst>
            <a:ext uri="{FF2B5EF4-FFF2-40B4-BE49-F238E27FC236}">
              <a16:creationId xmlns:a16="http://schemas.microsoft.com/office/drawing/2014/main" id="{77791B73-22F3-4DBF-B4B4-8DC20235D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466724</xdr:colOff>
      <xdr:row>2</xdr:row>
      <xdr:rowOff>9525</xdr:rowOff>
    </xdr:from>
    <xdr:to>
      <xdr:col>18</xdr:col>
      <xdr:colOff>190499</xdr:colOff>
      <xdr:row>15</xdr:row>
      <xdr:rowOff>0</xdr:rowOff>
    </xdr:to>
    <xdr:graphicFrame macro="">
      <xdr:nvGraphicFramePr>
        <xdr:cNvPr id="4" name="Chart 3">
          <a:extLst>
            <a:ext uri="{FF2B5EF4-FFF2-40B4-BE49-F238E27FC236}">
              <a16:creationId xmlns:a16="http://schemas.microsoft.com/office/drawing/2014/main" id="{6D2413F1-B66F-457D-9D26-A6A84016E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212313</xdr:colOff>
      <xdr:row>2</xdr:row>
      <xdr:rowOff>10355</xdr:rowOff>
    </xdr:from>
    <xdr:to>
      <xdr:col>13</xdr:col>
      <xdr:colOff>457200</xdr:colOff>
      <xdr:row>14</xdr:row>
      <xdr:rowOff>171450</xdr:rowOff>
    </xdr:to>
    <xdr:graphicFrame macro="">
      <xdr:nvGraphicFramePr>
        <xdr:cNvPr id="5" name="Chart 4">
          <a:extLst>
            <a:ext uri="{FF2B5EF4-FFF2-40B4-BE49-F238E27FC236}">
              <a16:creationId xmlns:a16="http://schemas.microsoft.com/office/drawing/2014/main" id="{D59DCC43-D05E-4B7D-8150-EF1B23DD0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180975</xdr:rowOff>
    </xdr:from>
    <xdr:to>
      <xdr:col>4</xdr:col>
      <xdr:colOff>619125</xdr:colOff>
      <xdr:row>27</xdr:row>
      <xdr:rowOff>76200</xdr:rowOff>
    </xdr:to>
    <xdr:graphicFrame macro="">
      <xdr:nvGraphicFramePr>
        <xdr:cNvPr id="6" name="Chart 5">
          <a:extLst>
            <a:ext uri="{FF2B5EF4-FFF2-40B4-BE49-F238E27FC236}">
              <a16:creationId xmlns:a16="http://schemas.microsoft.com/office/drawing/2014/main" id="{F3AC8892-50CD-42A3-BD44-A34A12BA9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295275</xdr:colOff>
      <xdr:row>2</xdr:row>
      <xdr:rowOff>38100</xdr:rowOff>
    </xdr:from>
    <xdr:to>
      <xdr:col>20</xdr:col>
      <xdr:colOff>66675</xdr:colOff>
      <xdr:row>15</xdr:row>
      <xdr:rowOff>104774</xdr:rowOff>
    </xdr:to>
    <mc:AlternateContent xmlns:mc="http://schemas.openxmlformats.org/markup-compatibility/2006" xmlns:a14="http://schemas.microsoft.com/office/drawing/2010/main">
      <mc:Choice Requires="a14">
        <xdr:graphicFrame macro="">
          <xdr:nvGraphicFramePr>
            <xdr:cNvPr id="7" name="Order ID">
              <a:extLst>
                <a:ext uri="{FF2B5EF4-FFF2-40B4-BE49-F238E27FC236}">
                  <a16:creationId xmlns:a16="http://schemas.microsoft.com/office/drawing/2014/main" id="{9CDD2AF8-19EC-E9A3-7C74-4D943CFC11E1}"/>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11953875" y="438150"/>
              <a:ext cx="1828800" cy="2666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450988</xdr:colOff>
      <xdr:row>21</xdr:row>
      <xdr:rowOff>100634</xdr:rowOff>
    </xdr:from>
    <xdr:to>
      <xdr:col>18</xdr:col>
      <xdr:colOff>222388</xdr:colOff>
      <xdr:row>26</xdr:row>
      <xdr:rowOff>53009</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856ADA86-1C52-37E6-EBF8-2DD714D088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61555" y="4224861"/>
              <a:ext cx="1833513" cy="9343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15</xdr:row>
      <xdr:rowOff>0</xdr:rowOff>
    </xdr:from>
    <xdr:to>
      <xdr:col>15</xdr:col>
      <xdr:colOff>466725</xdr:colOff>
      <xdr:row>28</xdr:row>
      <xdr:rowOff>66676</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FDDCD2CC-F6B6-A15B-1807-AB4F9D3E4691}"/>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924925" y="3000375"/>
              <a:ext cx="1828800" cy="26670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209550</xdr:colOff>
      <xdr:row>15</xdr:row>
      <xdr:rowOff>57150</xdr:rowOff>
    </xdr:from>
    <xdr:to>
      <xdr:col>12</xdr:col>
      <xdr:colOff>666750</xdr:colOff>
      <xdr:row>28</xdr:row>
      <xdr:rowOff>123826</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BD4E40E7-8BDE-2FDF-B208-4DD5080207E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067550" y="3057525"/>
              <a:ext cx="1828800" cy="26670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409575</xdr:colOff>
      <xdr:row>15</xdr:row>
      <xdr:rowOff>9525</xdr:rowOff>
    </xdr:from>
    <xdr:to>
      <xdr:col>10</xdr:col>
      <xdr:colOff>180975</xdr:colOff>
      <xdr:row>28</xdr:row>
      <xdr:rowOff>76201</xdr:rowOff>
    </xdr:to>
    <mc:AlternateContent xmlns:mc="http://schemas.openxmlformats.org/markup-compatibility/2006" xmlns:a14="http://schemas.microsoft.com/office/drawing/2010/main">
      <mc:Choice Requires="a14">
        <xdr:graphicFrame macro="">
          <xdr:nvGraphicFramePr>
            <xdr:cNvPr id="11" name="Revenue">
              <a:extLst>
                <a:ext uri="{FF2B5EF4-FFF2-40B4-BE49-F238E27FC236}">
                  <a16:creationId xmlns:a16="http://schemas.microsoft.com/office/drawing/2014/main" id="{66231819-FE23-C397-B2BA-189FE6913D5E}"/>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5210175" y="3009900"/>
              <a:ext cx="1828800" cy="26670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476250</xdr:colOff>
      <xdr:row>15</xdr:row>
      <xdr:rowOff>9525</xdr:rowOff>
    </xdr:from>
    <xdr:to>
      <xdr:col>18</xdr:col>
      <xdr:colOff>247650</xdr:colOff>
      <xdr:row>21</xdr:row>
      <xdr:rowOff>142876</xdr:rowOff>
    </xdr:to>
    <mc:AlternateContent xmlns:mc="http://schemas.openxmlformats.org/markup-compatibility/2006" xmlns:a14="http://schemas.microsoft.com/office/drawing/2010/main">
      <mc:Choice Requires="a14">
        <xdr:graphicFrame macro="">
          <xdr:nvGraphicFramePr>
            <xdr:cNvPr id="12" name="Payment &#10;Method">
              <a:extLst>
                <a:ext uri="{FF2B5EF4-FFF2-40B4-BE49-F238E27FC236}">
                  <a16:creationId xmlns:a16="http://schemas.microsoft.com/office/drawing/2014/main" id="{18F31994-6003-CABA-E0BC-F3D874B951D0}"/>
                </a:ext>
              </a:extLst>
            </xdr:cNvPr>
            <xdr:cNvGraphicFramePr/>
          </xdr:nvGraphicFramePr>
          <xdr:xfrm>
            <a:off x="0" y="0"/>
            <a:ext cx="0" cy="0"/>
          </xdr:xfrm>
          <a:graphic>
            <a:graphicData uri="http://schemas.microsoft.com/office/drawing/2010/slicer">
              <sle:slicer xmlns:sle="http://schemas.microsoft.com/office/drawing/2010/slicer" name="Payment &#10;Method"/>
            </a:graphicData>
          </a:graphic>
        </xdr:graphicFrame>
      </mc:Choice>
      <mc:Fallback xmlns="">
        <xdr:sp macro="" textlink="">
          <xdr:nvSpPr>
            <xdr:cNvPr id="0" name=""/>
            <xdr:cNvSpPr>
              <a:spLocks noTextEdit="1"/>
            </xdr:cNvSpPr>
          </xdr:nvSpPr>
          <xdr:spPr>
            <a:xfrm>
              <a:off x="10763250" y="3009900"/>
              <a:ext cx="1828800" cy="13335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647700</xdr:colOff>
      <xdr:row>15</xdr:row>
      <xdr:rowOff>0</xdr:rowOff>
    </xdr:from>
    <xdr:to>
      <xdr:col>7</xdr:col>
      <xdr:colOff>390525</xdr:colOff>
      <xdr:row>24</xdr:row>
      <xdr:rowOff>1</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0D2A4B08-1D6C-32C5-300B-59E3E31645D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390900" y="3000375"/>
              <a:ext cx="1800225" cy="18002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257174</xdr:colOff>
      <xdr:row>70</xdr:row>
      <xdr:rowOff>0</xdr:rowOff>
    </xdr:to>
    <xdr:pic>
      <xdr:nvPicPr>
        <xdr:cNvPr id="3" name="Picture 2">
          <a:extLst>
            <a:ext uri="{FF2B5EF4-FFF2-40B4-BE49-F238E27FC236}">
              <a16:creationId xmlns:a16="http://schemas.microsoft.com/office/drawing/2014/main" id="{A6C38D8E-E8E8-E0F5-EC89-89C8B8BD82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402174" cy="14001750"/>
        </a:xfrm>
        <a:prstGeom prst="rect">
          <a:avLst/>
        </a:prstGeom>
      </xdr:spPr>
    </xdr:pic>
    <xdr:clientData/>
  </xdr:twoCellAnchor>
  <xdr:twoCellAnchor>
    <xdr:from>
      <xdr:col>4</xdr:col>
      <xdr:colOff>438150</xdr:colOff>
      <xdr:row>0</xdr:row>
      <xdr:rowOff>0</xdr:rowOff>
    </xdr:from>
    <xdr:to>
      <xdr:col>14</xdr:col>
      <xdr:colOff>419100</xdr:colOff>
      <xdr:row>2</xdr:row>
      <xdr:rowOff>152400</xdr:rowOff>
    </xdr:to>
    <xdr:sp macro="" textlink="">
      <xdr:nvSpPr>
        <xdr:cNvPr id="4" name="TextBox 3">
          <a:extLst>
            <a:ext uri="{FF2B5EF4-FFF2-40B4-BE49-F238E27FC236}">
              <a16:creationId xmlns:a16="http://schemas.microsoft.com/office/drawing/2014/main" id="{5C29B63A-59EA-7E81-33B0-0BEE8998614C}"/>
            </a:ext>
          </a:extLst>
        </xdr:cNvPr>
        <xdr:cNvSpPr txBox="1"/>
      </xdr:nvSpPr>
      <xdr:spPr>
        <a:xfrm>
          <a:off x="3181350" y="0"/>
          <a:ext cx="68389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ysClr val="windowText" lastClr="000000"/>
              </a:solidFill>
              <a:latin typeface="Britannic Bold" panose="020B0903060703020204" pitchFamily="34" charset="0"/>
            </a:rPr>
            <a:t>Exce</a:t>
          </a:r>
          <a:r>
            <a:rPr lang="en-US" sz="3200" baseline="0">
              <a:solidFill>
                <a:sysClr val="windowText" lastClr="000000"/>
              </a:solidFill>
              <a:latin typeface="Britannic Bold" panose="020B0903060703020204" pitchFamily="34" charset="0"/>
            </a:rPr>
            <a:t>l Revenue Dashboard on Sales</a:t>
          </a:r>
          <a:endParaRPr lang="en-NG" sz="3200">
            <a:solidFill>
              <a:sysClr val="windowText" lastClr="000000"/>
            </a:solidFill>
            <a:latin typeface="Britannic Bold" panose="020B0903060703020204" pitchFamily="34" charset="0"/>
          </a:endParaRPr>
        </a:p>
      </xdr:txBody>
    </xdr:sp>
    <xdr:clientData/>
  </xdr:twoCellAnchor>
  <xdr:twoCellAnchor>
    <xdr:from>
      <xdr:col>5</xdr:col>
      <xdr:colOff>123825</xdr:colOff>
      <xdr:row>3</xdr:row>
      <xdr:rowOff>190500</xdr:rowOff>
    </xdr:from>
    <xdr:to>
      <xdr:col>11</xdr:col>
      <xdr:colOff>142875</xdr:colOff>
      <xdr:row>16</xdr:row>
      <xdr:rowOff>133350</xdr:rowOff>
    </xdr:to>
    <xdr:graphicFrame macro="">
      <xdr:nvGraphicFramePr>
        <xdr:cNvPr id="5" name="Chart 4">
          <a:extLst>
            <a:ext uri="{FF2B5EF4-FFF2-40B4-BE49-F238E27FC236}">
              <a16:creationId xmlns:a16="http://schemas.microsoft.com/office/drawing/2014/main" id="{CB26ABE6-CEC5-49C7-980E-088E9C948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31</xdr:row>
      <xdr:rowOff>85725</xdr:rowOff>
    </xdr:from>
    <xdr:to>
      <xdr:col>16</xdr:col>
      <xdr:colOff>190499</xdr:colOff>
      <xdr:row>46</xdr:row>
      <xdr:rowOff>114300</xdr:rowOff>
    </xdr:to>
    <xdr:graphicFrame macro="">
      <xdr:nvGraphicFramePr>
        <xdr:cNvPr id="7" name="Chart 6">
          <a:extLst>
            <a:ext uri="{FF2B5EF4-FFF2-40B4-BE49-F238E27FC236}">
              <a16:creationId xmlns:a16="http://schemas.microsoft.com/office/drawing/2014/main" id="{E96B333C-8C73-405F-8F7E-6851BDFA1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257174</xdr:colOff>
      <xdr:row>17</xdr:row>
      <xdr:rowOff>104775</xdr:rowOff>
    </xdr:from>
    <xdr:to>
      <xdr:col>11</xdr:col>
      <xdr:colOff>123825</xdr:colOff>
      <xdr:row>30</xdr:row>
      <xdr:rowOff>57149</xdr:rowOff>
    </xdr:to>
    <xdr:graphicFrame macro="">
      <xdr:nvGraphicFramePr>
        <xdr:cNvPr id="8" name="Chart 7">
          <a:extLst>
            <a:ext uri="{FF2B5EF4-FFF2-40B4-BE49-F238E27FC236}">
              <a16:creationId xmlns:a16="http://schemas.microsoft.com/office/drawing/2014/main" id="{43E19CF9-B24A-4B98-806E-0316C0E0E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95250</xdr:colOff>
      <xdr:row>4</xdr:row>
      <xdr:rowOff>28575</xdr:rowOff>
    </xdr:from>
    <xdr:to>
      <xdr:col>5</xdr:col>
      <xdr:colOff>23813</xdr:colOff>
      <xdr:row>16</xdr:row>
      <xdr:rowOff>152400</xdr:rowOff>
    </xdr:to>
    <xdr:graphicFrame macro="">
      <xdr:nvGraphicFramePr>
        <xdr:cNvPr id="10" name="Chart 9">
          <a:extLst>
            <a:ext uri="{FF2B5EF4-FFF2-40B4-BE49-F238E27FC236}">
              <a16:creationId xmlns:a16="http://schemas.microsoft.com/office/drawing/2014/main" id="{EFE6D9D2-BA92-45BF-892D-C165C4376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219074</xdr:colOff>
      <xdr:row>3</xdr:row>
      <xdr:rowOff>190501</xdr:rowOff>
    </xdr:from>
    <xdr:to>
      <xdr:col>17</xdr:col>
      <xdr:colOff>38099</xdr:colOff>
      <xdr:row>30</xdr:row>
      <xdr:rowOff>47626</xdr:rowOff>
    </xdr:to>
    <xdr:graphicFrame macro="">
      <xdr:nvGraphicFramePr>
        <xdr:cNvPr id="12" name="Chart 11">
          <a:extLst>
            <a:ext uri="{FF2B5EF4-FFF2-40B4-BE49-F238E27FC236}">
              <a16:creationId xmlns:a16="http://schemas.microsoft.com/office/drawing/2014/main" id="{3940B4BE-A621-43B5-97F0-7CCF5C1E3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95249</xdr:colOff>
      <xdr:row>17</xdr:row>
      <xdr:rowOff>95250</xdr:rowOff>
    </xdr:from>
    <xdr:to>
      <xdr:col>6</xdr:col>
      <xdr:colOff>180974</xdr:colOff>
      <xdr:row>30</xdr:row>
      <xdr:rowOff>37270</xdr:rowOff>
    </xdr:to>
    <xdr:graphicFrame macro="">
      <xdr:nvGraphicFramePr>
        <xdr:cNvPr id="6" name="Chart 5">
          <a:extLst>
            <a:ext uri="{FF2B5EF4-FFF2-40B4-BE49-F238E27FC236}">
              <a16:creationId xmlns:a16="http://schemas.microsoft.com/office/drawing/2014/main" id="{6FD6E968-23B0-4F9E-9DBD-DD1B07C64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ia Salami" refreshedDate="46167.499004166668" createdVersion="8" refreshedVersion="8" minRefreshableVersion="3" recordCount="98" xr:uid="{A473990F-F413-4E53-97E7-877DBCE79268}">
  <cacheSource type="worksheet">
    <worksheetSource name="Table1"/>
  </cacheSource>
  <cacheFields count="11">
    <cacheField name="Order ID" numFmtId="0">
      <sharedItems containsSemiMixedTypes="0" containsString="0" containsNumber="1" containsInteger="1" minValue="10452" maxValue="10549" count="91">
        <n v="10507"/>
        <n v="10534"/>
        <n v="10537"/>
        <n v="10538"/>
        <n v="10542"/>
        <n v="10547"/>
        <n v="10485"/>
        <n v="10453"/>
        <n v="10477"/>
        <n v="10486"/>
        <n v="10490"/>
        <n v="10502"/>
        <n v="10523"/>
        <n v="10525"/>
        <n v="10535"/>
        <n v="10461"/>
        <n v="10506"/>
        <n v="10531"/>
        <n v="10536"/>
        <n v="10541"/>
        <n v="10546"/>
        <n v="10501"/>
        <n v="10456"/>
        <n v="10457"/>
        <n v="10463"/>
        <n v="10468"/>
        <n v="10470"/>
        <n v="10473"/>
        <n v="10478"/>
        <n v="10481"/>
        <n v="10510"/>
        <n v="10529"/>
        <n v="10476"/>
        <n v="10487"/>
        <n v="10509"/>
        <n v="10500"/>
        <n v="10515"/>
        <n v="10516"/>
        <n v="10483"/>
        <n v="10475"/>
        <n v="10480"/>
        <n v="10495"/>
        <n v="10484"/>
        <n v="10543"/>
        <n v="10466"/>
        <n v="10467"/>
        <n v="10532"/>
        <n v="10533"/>
        <n v="10527"/>
        <n v="10528"/>
        <n v="10496"/>
        <n v="10498"/>
        <n v="10512"/>
        <n v="10513"/>
        <n v="10474"/>
        <n v="10479"/>
        <n v="10488"/>
        <n v="10526"/>
        <n v="10548"/>
        <n v="10508"/>
        <n v="10505"/>
        <n v="10524"/>
        <n v="10459"/>
        <n v="10494"/>
        <n v="10504"/>
        <n v="10514"/>
        <n v="10539"/>
        <n v="10544"/>
        <n v="10549"/>
        <n v="10472"/>
        <n v="10499"/>
        <n v="10455"/>
        <n v="10522"/>
        <n v="10452"/>
        <n v="10460"/>
        <n v="10462"/>
        <n v="10464"/>
        <n v="10454"/>
        <n v="10471"/>
        <n v="10482"/>
        <n v="10492"/>
        <n v="10493"/>
        <n v="10497"/>
        <n v="10503"/>
        <n v="10511"/>
        <n v="10521"/>
        <n v="10530"/>
        <n v="10540"/>
        <n v="10520"/>
        <n v="10545"/>
        <n v="10489"/>
      </sharedItems>
    </cacheField>
    <cacheField name="Date" numFmtId="14">
      <sharedItems containsSemiMixedTypes="0" containsNonDate="0" containsDate="1" containsString="0" minDate="2023-06-07T00:00:00" maxDate="2023-06-27T00:00:00" count="20">
        <d v="2023-06-18T00:00:00"/>
        <d v="2023-06-23T00:00:00"/>
        <d v="2023-06-24T00:00:00"/>
        <d v="2023-06-25T00:00:00"/>
        <d v="2023-06-26T00:00:00"/>
        <d v="2023-06-14T00:00:00"/>
        <d v="2023-06-07T00:00:00"/>
        <d v="2023-06-12T00:00:00"/>
        <d v="2023-06-15T00:00:00"/>
        <d v="2023-06-17T00:00:00"/>
        <d v="2023-06-21T00:00:00"/>
        <d v="2023-06-22T00:00:00"/>
        <d v="2023-06-09T00:00:00"/>
        <d v="2023-06-08T00:00:00"/>
        <d v="2023-06-10T00:00:00"/>
        <d v="2023-06-11T00:00:00"/>
        <d v="2023-06-13T00:00:00"/>
        <d v="2023-06-19T00:00:00"/>
        <d v="2023-06-20T00:00:00"/>
        <d v="2023-06-16T00:00:00"/>
      </sharedItems>
    </cacheField>
    <cacheField name="Names" numFmtId="14">
      <sharedItems/>
    </cacheField>
    <cacheField name="Gender" numFmtId="0">
      <sharedItems count="2">
        <s v="Female"/>
        <s v="Male"/>
      </sharedItems>
    </cacheField>
    <cacheField name="Age" numFmtId="0">
      <sharedItems containsSemiMixedTypes="0" containsString="0" containsNumber="1" containsInteger="1" minValue="20" maxValue="68" count="43">
        <n v="55"/>
        <n v="60"/>
        <n v="58"/>
        <n v="49"/>
        <n v="42"/>
        <n v="51"/>
        <n v="50"/>
        <n v="59"/>
        <n v="48"/>
        <n v="45"/>
        <n v="56"/>
        <n v="47"/>
        <n v="44"/>
        <n v="57"/>
        <n v="53"/>
        <n v="68"/>
        <n v="54"/>
        <n v="40"/>
        <n v="67"/>
        <n v="63"/>
        <n v="62"/>
        <n v="52"/>
        <n v="41"/>
        <n v="46"/>
        <n v="61"/>
        <n v="37"/>
        <n v="39"/>
        <n v="28"/>
        <n v="33"/>
        <n v="25"/>
        <n v="36"/>
        <n v="21"/>
        <n v="24"/>
        <n v="35"/>
        <n v="31"/>
        <n v="23"/>
        <n v="43"/>
        <n v="38"/>
        <n v="26"/>
        <n v="20"/>
        <n v="32"/>
        <n v="30"/>
        <n v="22"/>
      </sharedItems>
    </cacheField>
    <cacheField name="Country" numFmtId="0">
      <sharedItems count="8">
        <s v="FR"/>
        <s v="IT"/>
        <s v="UK"/>
        <s v="JP"/>
        <s v="ES"/>
        <s v="US"/>
        <s v="USA"/>
        <s v="DE"/>
      </sharedItems>
    </cacheField>
    <cacheField name="Price" numFmtId="164">
      <sharedItems containsSemiMixedTypes="0" containsString="0" containsNumber="1" containsInteger="1" minValue="150" maxValue="400"/>
    </cacheField>
    <cacheField name="Units" numFmtId="1">
      <sharedItems containsSemiMixedTypes="0" containsString="0" containsNumber="1" minValue="10" maxValue="91"/>
    </cacheField>
    <cacheField name="Revenue" numFmtId="164">
      <sharedItems containsSemiMixedTypes="0" containsString="0" containsNumber="1" minValue="2250" maxValue="36400" count="60">
        <n v="36400"/>
        <n v="33440"/>
        <n v="26752"/>
        <n v="20900"/>
        <n v="26240"/>
        <n v="20000"/>
        <n v="12000"/>
        <n v="25600"/>
        <n v="32000"/>
        <n v="25536"/>
        <n v="31839.999999999996"/>
        <n v="30400.000000000007"/>
        <n v="11400.000000000002"/>
        <n v="24320.000000000004"/>
        <n v="24320"/>
        <n v="24000"/>
        <n v="30000"/>
        <n v="11250"/>
        <n v="18750"/>
        <n v="23673.600000000002"/>
        <n v="17500"/>
        <n v="22400"/>
        <n v="26800"/>
        <n v="9450"/>
        <n v="20160"/>
        <n v="19200"/>
        <n v="15000"/>
        <n v="9000"/>
        <n v="23920"/>
        <n v="12500"/>
        <n v="18240"/>
        <n v="18000"/>
        <n v="6750"/>
        <n v="6600"/>
        <n v="13760"/>
        <n v="10500"/>
        <n v="6000"/>
        <n v="10000"/>
        <n v="15919.999999999998"/>
        <n v="5970"/>
        <n v="5850"/>
        <n v="15200"/>
        <n v="9500"/>
        <n v="5700"/>
        <n v="5699.9999999999991"/>
        <n v="12159.999999999998"/>
        <n v="15199.999999999996"/>
        <n v="11200"/>
        <n v="4950"/>
        <n v="8640"/>
        <n v="3750"/>
        <n v="6250"/>
        <n v="8000"/>
        <n v="7539.2"/>
        <n v="5890"/>
        <n v="9200"/>
        <n v="8816"/>
        <n v="6400"/>
        <n v="2250"/>
        <n v="2500"/>
      </sharedItems>
    </cacheField>
    <cacheField name="Payment _x000a_Method" numFmtId="0">
      <sharedItems count="3">
        <s v=" Credit Card"/>
        <s v=" Cash"/>
        <s v=" Gift Card"/>
      </sharedItems>
    </cacheField>
    <cacheField name="Salesperson" numFmtId="0">
      <sharedItems count="5">
        <s v="Anna Perez"/>
        <s v="Tom Jackson"/>
        <s v="Jenna Silva"/>
        <s v="Remy Monet"/>
        <s v="Walter Muller"/>
      </sharedItems>
    </cacheField>
  </cacheFields>
  <extLst>
    <ext xmlns:x14="http://schemas.microsoft.com/office/spreadsheetml/2009/9/main" uri="{725AE2AE-9491-48be-B2B4-4EB974FC3084}">
      <x14:pivotCacheDefinition pivotCacheId="133960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s v="Janet Murphy"/>
    <x v="0"/>
    <x v="0"/>
    <x v="0"/>
    <n v="400"/>
    <n v="91"/>
    <x v="0"/>
    <x v="0"/>
    <x v="0"/>
  </r>
  <r>
    <x v="1"/>
    <x v="1"/>
    <s v="Janice Clark"/>
    <x v="0"/>
    <x v="1"/>
    <x v="1"/>
    <n v="400"/>
    <n v="83.6"/>
    <x v="1"/>
    <x v="1"/>
    <x v="0"/>
  </r>
  <r>
    <x v="2"/>
    <x v="2"/>
    <s v="Charlotte Walker"/>
    <x v="0"/>
    <x v="2"/>
    <x v="0"/>
    <n v="320"/>
    <n v="83.6"/>
    <x v="2"/>
    <x v="0"/>
    <x v="0"/>
  </r>
  <r>
    <x v="3"/>
    <x v="2"/>
    <s v="Natalie Robinson"/>
    <x v="0"/>
    <x v="3"/>
    <x v="0"/>
    <n v="320"/>
    <n v="83.6"/>
    <x v="2"/>
    <x v="0"/>
    <x v="0"/>
  </r>
  <r>
    <x v="4"/>
    <x v="3"/>
    <s v="Doris Nguyen"/>
    <x v="0"/>
    <x v="4"/>
    <x v="1"/>
    <n v="400"/>
    <n v="83.6"/>
    <x v="1"/>
    <x v="0"/>
    <x v="1"/>
  </r>
  <r>
    <x v="5"/>
    <x v="4"/>
    <s v="Keith Roberts"/>
    <x v="1"/>
    <x v="5"/>
    <x v="2"/>
    <n v="250"/>
    <n v="83.6"/>
    <x v="3"/>
    <x v="0"/>
    <x v="1"/>
  </r>
  <r>
    <x v="6"/>
    <x v="5"/>
    <s v="Kelly Jones"/>
    <x v="0"/>
    <x v="5"/>
    <x v="3"/>
    <n v="320"/>
    <n v="82"/>
    <x v="4"/>
    <x v="0"/>
    <x v="2"/>
  </r>
  <r>
    <x v="7"/>
    <x v="6"/>
    <s v="Kennedi Singh"/>
    <x v="1"/>
    <x v="6"/>
    <x v="4"/>
    <n v="250"/>
    <n v="80"/>
    <x v="5"/>
    <x v="2"/>
    <x v="0"/>
  </r>
  <r>
    <x v="8"/>
    <x v="7"/>
    <s v="Joseph Mitchell"/>
    <x v="1"/>
    <x v="7"/>
    <x v="0"/>
    <n v="150"/>
    <n v="80"/>
    <x v="6"/>
    <x v="0"/>
    <x v="0"/>
  </r>
  <r>
    <x v="9"/>
    <x v="5"/>
    <s v="Steven Simpson"/>
    <x v="1"/>
    <x v="8"/>
    <x v="5"/>
    <n v="150"/>
    <n v="80"/>
    <x v="6"/>
    <x v="0"/>
    <x v="2"/>
  </r>
  <r>
    <x v="10"/>
    <x v="8"/>
    <s v="Kenneth Anderson"/>
    <x v="1"/>
    <x v="9"/>
    <x v="3"/>
    <n v="150"/>
    <n v="80"/>
    <x v="6"/>
    <x v="0"/>
    <x v="0"/>
  </r>
  <r>
    <x v="11"/>
    <x v="9"/>
    <s v="Nicholas Gerrard"/>
    <x v="1"/>
    <x v="10"/>
    <x v="4"/>
    <n v="320"/>
    <n v="80"/>
    <x v="7"/>
    <x v="0"/>
    <x v="0"/>
  </r>
  <r>
    <x v="12"/>
    <x v="10"/>
    <s v="Judith Lopez"/>
    <x v="0"/>
    <x v="11"/>
    <x v="3"/>
    <n v="400"/>
    <n v="80"/>
    <x v="8"/>
    <x v="1"/>
    <x v="3"/>
  </r>
  <r>
    <x v="13"/>
    <x v="11"/>
    <s v="Hannah Garcia"/>
    <x v="0"/>
    <x v="1"/>
    <x v="4"/>
    <n v="320"/>
    <n v="79.8"/>
    <x v="9"/>
    <x v="1"/>
    <x v="3"/>
  </r>
  <r>
    <x v="14"/>
    <x v="2"/>
    <s v="Marilyn Allen"/>
    <x v="0"/>
    <x v="12"/>
    <x v="1"/>
    <n v="400"/>
    <n v="79.599999999999994"/>
    <x v="10"/>
    <x v="0"/>
    <x v="0"/>
  </r>
  <r>
    <x v="15"/>
    <x v="12"/>
    <s v="Brendan Walls"/>
    <x v="1"/>
    <x v="13"/>
    <x v="3"/>
    <n v="400"/>
    <n v="76.000000000000014"/>
    <x v="11"/>
    <x v="0"/>
    <x v="3"/>
  </r>
  <r>
    <x v="16"/>
    <x v="0"/>
    <s v="Carolyn Muir"/>
    <x v="0"/>
    <x v="10"/>
    <x v="0"/>
    <n v="150"/>
    <n v="76.000000000000014"/>
    <x v="12"/>
    <x v="0"/>
    <x v="0"/>
  </r>
  <r>
    <x v="17"/>
    <x v="1"/>
    <s v="Teresa Jarris"/>
    <x v="0"/>
    <x v="14"/>
    <x v="1"/>
    <n v="400"/>
    <n v="76.000000000000014"/>
    <x v="11"/>
    <x v="1"/>
    <x v="3"/>
  </r>
  <r>
    <x v="18"/>
    <x v="2"/>
    <s v="Beverly Young"/>
    <x v="0"/>
    <x v="9"/>
    <x v="0"/>
    <n v="150"/>
    <n v="76.000000000000014"/>
    <x v="12"/>
    <x v="0"/>
    <x v="0"/>
  </r>
  <r>
    <x v="19"/>
    <x v="3"/>
    <s v="Brittany Hill"/>
    <x v="0"/>
    <x v="15"/>
    <x v="1"/>
    <n v="320"/>
    <n v="76.000000000000014"/>
    <x v="13"/>
    <x v="0"/>
    <x v="1"/>
  </r>
  <r>
    <x v="20"/>
    <x v="4"/>
    <s v="Christian Carter"/>
    <x v="1"/>
    <x v="16"/>
    <x v="3"/>
    <n v="320"/>
    <n v="76.000000000000014"/>
    <x v="13"/>
    <x v="0"/>
    <x v="1"/>
  </r>
  <r>
    <x v="21"/>
    <x v="9"/>
    <s v="Gary Sinclair"/>
    <x v="1"/>
    <x v="17"/>
    <x v="4"/>
    <n v="320"/>
    <n v="76"/>
    <x v="14"/>
    <x v="0"/>
    <x v="0"/>
  </r>
  <r>
    <x v="22"/>
    <x v="13"/>
    <s v="Ivan Hines"/>
    <x v="1"/>
    <x v="3"/>
    <x v="5"/>
    <n v="320"/>
    <n v="75"/>
    <x v="15"/>
    <x v="0"/>
    <x v="4"/>
  </r>
  <r>
    <x v="23"/>
    <x v="13"/>
    <s v="Jonah Higgins"/>
    <x v="1"/>
    <x v="3"/>
    <x v="5"/>
    <n v="400"/>
    <n v="75"/>
    <x v="16"/>
    <x v="0"/>
    <x v="3"/>
  </r>
  <r>
    <x v="24"/>
    <x v="12"/>
    <s v="Lucia Mckay"/>
    <x v="0"/>
    <x v="8"/>
    <x v="3"/>
    <n v="150"/>
    <n v="75"/>
    <x v="17"/>
    <x v="0"/>
    <x v="3"/>
  </r>
  <r>
    <x v="25"/>
    <x v="14"/>
    <s v="Jaylynn Knapp"/>
    <x v="0"/>
    <x v="18"/>
    <x v="0"/>
    <n v="150"/>
    <n v="75"/>
    <x v="17"/>
    <x v="0"/>
    <x v="0"/>
  </r>
  <r>
    <x v="26"/>
    <x v="15"/>
    <s v="Bryce Carpenter"/>
    <x v="1"/>
    <x v="7"/>
    <x v="0"/>
    <n v="250"/>
    <n v="75"/>
    <x v="18"/>
    <x v="0"/>
    <x v="0"/>
  </r>
  <r>
    <x v="27"/>
    <x v="15"/>
    <s v="Michael Filson"/>
    <x v="1"/>
    <x v="19"/>
    <x v="5"/>
    <n v="250"/>
    <n v="75"/>
    <x v="18"/>
    <x v="0"/>
    <x v="0"/>
  </r>
  <r>
    <x v="28"/>
    <x v="7"/>
    <s v="Thomas Clark"/>
    <x v="1"/>
    <x v="20"/>
    <x v="3"/>
    <n v="250"/>
    <n v="75"/>
    <x v="18"/>
    <x v="0"/>
    <x v="0"/>
  </r>
  <r>
    <x v="29"/>
    <x v="16"/>
    <s v="Daniel Davidson"/>
    <x v="1"/>
    <x v="18"/>
    <x v="4"/>
    <n v="250"/>
    <n v="75"/>
    <x v="18"/>
    <x v="0"/>
    <x v="0"/>
  </r>
  <r>
    <x v="29"/>
    <x v="16"/>
    <s v="Daniel Davidson"/>
    <x v="1"/>
    <x v="18"/>
    <x v="4"/>
    <n v="400"/>
    <n v="75"/>
    <x v="16"/>
    <x v="0"/>
    <x v="0"/>
  </r>
  <r>
    <x v="30"/>
    <x v="17"/>
    <s v="Heather Stevenson"/>
    <x v="0"/>
    <x v="1"/>
    <x v="6"/>
    <n v="150"/>
    <n v="75"/>
    <x v="17"/>
    <x v="0"/>
    <x v="0"/>
  </r>
  <r>
    <x v="31"/>
    <x v="11"/>
    <s v="Martha Lee"/>
    <x v="0"/>
    <x v="20"/>
    <x v="1"/>
    <n v="320"/>
    <n v="73.98"/>
    <x v="19"/>
    <x v="1"/>
    <x v="3"/>
  </r>
  <r>
    <x v="32"/>
    <x v="7"/>
    <s v="Richard Ross"/>
    <x v="1"/>
    <x v="21"/>
    <x v="0"/>
    <n v="250"/>
    <n v="70"/>
    <x v="20"/>
    <x v="0"/>
    <x v="0"/>
  </r>
  <r>
    <x v="33"/>
    <x v="5"/>
    <s v="Andrew Hamilton"/>
    <x v="1"/>
    <x v="22"/>
    <x v="5"/>
    <n v="320"/>
    <n v="70"/>
    <x v="21"/>
    <x v="0"/>
    <x v="2"/>
  </r>
  <r>
    <x v="34"/>
    <x v="0"/>
    <s v="Catherine Sunderland"/>
    <x v="0"/>
    <x v="5"/>
    <x v="0"/>
    <n v="320"/>
    <n v="70"/>
    <x v="21"/>
    <x v="0"/>
    <x v="0"/>
  </r>
  <r>
    <x v="35"/>
    <x v="9"/>
    <s v="Jacob William"/>
    <x v="1"/>
    <x v="16"/>
    <x v="4"/>
    <n v="400"/>
    <n v="67"/>
    <x v="22"/>
    <x v="0"/>
    <x v="0"/>
  </r>
  <r>
    <x v="36"/>
    <x v="18"/>
    <s v="Victoria Prowse"/>
    <x v="0"/>
    <x v="2"/>
    <x v="6"/>
    <n v="150"/>
    <n v="63"/>
    <x v="23"/>
    <x v="1"/>
    <x v="2"/>
  </r>
  <r>
    <x v="37"/>
    <x v="18"/>
    <s v="Ruth Milner"/>
    <x v="0"/>
    <x v="0"/>
    <x v="6"/>
    <n v="320"/>
    <n v="63"/>
    <x v="24"/>
    <x v="1"/>
    <x v="2"/>
  </r>
  <r>
    <x v="38"/>
    <x v="16"/>
    <s v="Virginia Dunk"/>
    <x v="0"/>
    <x v="21"/>
    <x v="6"/>
    <n v="150"/>
    <n v="63"/>
    <x v="23"/>
    <x v="0"/>
    <x v="2"/>
  </r>
  <r>
    <x v="25"/>
    <x v="14"/>
    <s v="Bruce Rich"/>
    <x v="1"/>
    <x v="14"/>
    <x v="0"/>
    <n v="400"/>
    <n v="60"/>
    <x v="15"/>
    <x v="0"/>
    <x v="0"/>
  </r>
  <r>
    <x v="39"/>
    <x v="7"/>
    <s v="William Stewart"/>
    <x v="1"/>
    <x v="23"/>
    <x v="0"/>
    <n v="320"/>
    <n v="60"/>
    <x v="25"/>
    <x v="0"/>
    <x v="0"/>
  </r>
  <r>
    <x v="40"/>
    <x v="16"/>
    <s v="Charles Gray"/>
    <x v="1"/>
    <x v="21"/>
    <x v="4"/>
    <n v="250"/>
    <n v="60"/>
    <x v="26"/>
    <x v="0"/>
    <x v="0"/>
  </r>
  <r>
    <x v="41"/>
    <x v="19"/>
    <s v="Ronald Millar"/>
    <x v="1"/>
    <x v="24"/>
    <x v="5"/>
    <n v="150"/>
    <n v="60"/>
    <x v="27"/>
    <x v="0"/>
    <x v="0"/>
  </r>
  <r>
    <x v="42"/>
    <x v="16"/>
    <s v="Lauren Webster"/>
    <x v="0"/>
    <x v="12"/>
    <x v="6"/>
    <n v="150"/>
    <n v="60"/>
    <x v="27"/>
    <x v="0"/>
    <x v="2"/>
  </r>
  <r>
    <x v="43"/>
    <x v="3"/>
    <s v="Kayla Nelson"/>
    <x v="0"/>
    <x v="0"/>
    <x v="2"/>
    <n v="400"/>
    <n v="59.8"/>
    <x v="28"/>
    <x v="0"/>
    <x v="1"/>
  </r>
  <r>
    <x v="44"/>
    <x v="14"/>
    <s v="Denzel Flores"/>
    <x v="1"/>
    <x v="25"/>
    <x v="0"/>
    <n v="250"/>
    <n v="50"/>
    <x v="29"/>
    <x v="0"/>
    <x v="0"/>
  </r>
  <r>
    <x v="45"/>
    <x v="14"/>
    <s v="Bruno Cordova"/>
    <x v="1"/>
    <x v="26"/>
    <x v="0"/>
    <n v="400"/>
    <n v="50"/>
    <x v="5"/>
    <x v="0"/>
    <x v="0"/>
  </r>
  <r>
    <x v="46"/>
    <x v="1"/>
    <s v="Gloria White"/>
    <x v="0"/>
    <x v="27"/>
    <x v="1"/>
    <n v="400"/>
    <n v="45.6"/>
    <x v="30"/>
    <x v="1"/>
    <x v="2"/>
  </r>
  <r>
    <x v="47"/>
    <x v="1"/>
    <s v="Sara Perez"/>
    <x v="0"/>
    <x v="25"/>
    <x v="1"/>
    <n v="400"/>
    <n v="45.6"/>
    <x v="30"/>
    <x v="1"/>
    <x v="2"/>
  </r>
  <r>
    <x v="48"/>
    <x v="11"/>
    <s v="Cheryl Davis"/>
    <x v="0"/>
    <x v="28"/>
    <x v="1"/>
    <n v="400"/>
    <n v="45"/>
    <x v="31"/>
    <x v="1"/>
    <x v="3"/>
  </r>
  <r>
    <x v="49"/>
    <x v="11"/>
    <s v="Jacqueline Moore"/>
    <x v="0"/>
    <x v="3"/>
    <x v="1"/>
    <n v="150"/>
    <n v="45"/>
    <x v="32"/>
    <x v="1"/>
    <x v="3"/>
  </r>
  <r>
    <x v="50"/>
    <x v="19"/>
    <s v="Jason Crawford"/>
    <x v="1"/>
    <x v="29"/>
    <x v="5"/>
    <n v="150"/>
    <n v="44"/>
    <x v="33"/>
    <x v="0"/>
    <x v="0"/>
  </r>
  <r>
    <x v="51"/>
    <x v="19"/>
    <s v="Jeffrey Dickson"/>
    <x v="1"/>
    <x v="30"/>
    <x v="5"/>
    <n v="150"/>
    <n v="44"/>
    <x v="33"/>
    <x v="0"/>
    <x v="0"/>
  </r>
  <r>
    <x v="52"/>
    <x v="17"/>
    <s v="Olivia Craig"/>
    <x v="0"/>
    <x v="25"/>
    <x v="6"/>
    <n v="320"/>
    <n v="43"/>
    <x v="34"/>
    <x v="0"/>
    <x v="2"/>
  </r>
  <r>
    <x v="53"/>
    <x v="17"/>
    <s v="Julie Wright"/>
    <x v="0"/>
    <x v="5"/>
    <x v="6"/>
    <n v="250"/>
    <n v="42"/>
    <x v="35"/>
    <x v="1"/>
    <x v="2"/>
  </r>
  <r>
    <x v="54"/>
    <x v="15"/>
    <s v="David Thomson"/>
    <x v="1"/>
    <x v="31"/>
    <x v="5"/>
    <n v="150"/>
    <n v="40"/>
    <x v="36"/>
    <x v="0"/>
    <x v="0"/>
  </r>
  <r>
    <x v="55"/>
    <x v="7"/>
    <s v="Christopher Taylor"/>
    <x v="1"/>
    <x v="25"/>
    <x v="3"/>
    <n v="250"/>
    <n v="40"/>
    <x v="37"/>
    <x v="0"/>
    <x v="0"/>
  </r>
  <r>
    <x v="56"/>
    <x v="5"/>
    <s v="Paul Murray"/>
    <x v="1"/>
    <x v="32"/>
    <x v="5"/>
    <n v="150"/>
    <n v="40"/>
    <x v="36"/>
    <x v="0"/>
    <x v="2"/>
  </r>
  <r>
    <x v="57"/>
    <x v="11"/>
    <s v="Megan Miller"/>
    <x v="0"/>
    <x v="32"/>
    <x v="1"/>
    <n v="400"/>
    <n v="39.799999999999997"/>
    <x v="38"/>
    <x v="1"/>
    <x v="3"/>
  </r>
  <r>
    <x v="58"/>
    <x v="4"/>
    <s v="Roger Turner"/>
    <x v="1"/>
    <x v="31"/>
    <x v="2"/>
    <n v="150"/>
    <n v="39.799999999999997"/>
    <x v="39"/>
    <x v="0"/>
    <x v="1"/>
  </r>
  <r>
    <x v="59"/>
    <x v="0"/>
    <s v="Maria Kennedy"/>
    <x v="0"/>
    <x v="26"/>
    <x v="0"/>
    <n v="150"/>
    <n v="39"/>
    <x v="40"/>
    <x v="0"/>
    <x v="0"/>
  </r>
  <r>
    <x v="6"/>
    <x v="5"/>
    <s v="Donald Kerr"/>
    <x v="1"/>
    <x v="33"/>
    <x v="5"/>
    <n v="400"/>
    <n v="38"/>
    <x v="41"/>
    <x v="0"/>
    <x v="2"/>
  </r>
  <r>
    <x v="60"/>
    <x v="0"/>
    <s v="Rachel White"/>
    <x v="0"/>
    <x v="33"/>
    <x v="0"/>
    <n v="250"/>
    <n v="38"/>
    <x v="42"/>
    <x v="0"/>
    <x v="0"/>
  </r>
  <r>
    <x v="61"/>
    <x v="10"/>
    <s v="Andrea Gonzalez"/>
    <x v="0"/>
    <x v="23"/>
    <x v="3"/>
    <n v="150"/>
    <n v="38"/>
    <x v="43"/>
    <x v="1"/>
    <x v="3"/>
  </r>
  <r>
    <x v="62"/>
    <x v="13"/>
    <s v="Kylee Townsend"/>
    <x v="0"/>
    <x v="34"/>
    <x v="4"/>
    <n v="150"/>
    <n v="37.999999999999993"/>
    <x v="44"/>
    <x v="0"/>
    <x v="4"/>
  </r>
  <r>
    <x v="63"/>
    <x v="8"/>
    <s v="Timothy Johnson"/>
    <x v="1"/>
    <x v="35"/>
    <x v="5"/>
    <n v="320"/>
    <n v="37.999999999999993"/>
    <x v="45"/>
    <x v="0"/>
    <x v="0"/>
  </r>
  <r>
    <x v="64"/>
    <x v="9"/>
    <s v="Jonathan Burns"/>
    <x v="1"/>
    <x v="35"/>
    <x v="0"/>
    <n v="320"/>
    <n v="37.999999999999993"/>
    <x v="45"/>
    <x v="0"/>
    <x v="0"/>
  </r>
  <r>
    <x v="65"/>
    <x v="17"/>
    <s v="Joyce Adams"/>
    <x v="0"/>
    <x v="31"/>
    <x v="6"/>
    <n v="150"/>
    <n v="37.999999999999993"/>
    <x v="44"/>
    <x v="1"/>
    <x v="2"/>
  </r>
  <r>
    <x v="66"/>
    <x v="2"/>
    <s v="Theresa Lewsis"/>
    <x v="0"/>
    <x v="0"/>
    <x v="2"/>
    <n v="320"/>
    <n v="37.999999999999993"/>
    <x v="45"/>
    <x v="0"/>
    <x v="0"/>
  </r>
  <r>
    <x v="67"/>
    <x v="3"/>
    <s v="Alexis Rivera"/>
    <x v="0"/>
    <x v="36"/>
    <x v="1"/>
    <n v="150"/>
    <n v="37.999999999999993"/>
    <x v="44"/>
    <x v="0"/>
    <x v="1"/>
  </r>
  <r>
    <x v="68"/>
    <x v="4"/>
    <s v="Terry Evans"/>
    <x v="1"/>
    <x v="21"/>
    <x v="5"/>
    <n v="400"/>
    <n v="37.999999999999993"/>
    <x v="46"/>
    <x v="0"/>
    <x v="1"/>
  </r>
  <r>
    <x v="69"/>
    <x v="15"/>
    <s v="John Brown"/>
    <x v="1"/>
    <x v="37"/>
    <x v="5"/>
    <n v="320"/>
    <n v="35"/>
    <x v="47"/>
    <x v="0"/>
    <x v="0"/>
  </r>
  <r>
    <x v="70"/>
    <x v="19"/>
    <s v="Ryan Hill"/>
    <x v="1"/>
    <x v="26"/>
    <x v="5"/>
    <n v="150"/>
    <n v="33"/>
    <x v="48"/>
    <x v="0"/>
    <x v="0"/>
  </r>
  <r>
    <x v="71"/>
    <x v="13"/>
    <s v="Nyla Novak"/>
    <x v="0"/>
    <x v="34"/>
    <x v="2"/>
    <n v="400"/>
    <n v="28"/>
    <x v="47"/>
    <x v="0"/>
    <x v="4"/>
  </r>
  <r>
    <x v="72"/>
    <x v="10"/>
    <s v="Evelyn Martinez"/>
    <x v="0"/>
    <x v="38"/>
    <x v="3"/>
    <n v="320"/>
    <n v="27"/>
    <x v="49"/>
    <x v="1"/>
    <x v="3"/>
  </r>
  <r>
    <x v="73"/>
    <x v="6"/>
    <s v="Bill Smith"/>
    <x v="1"/>
    <x v="35"/>
    <x v="2"/>
    <n v="150"/>
    <n v="25"/>
    <x v="50"/>
    <x v="2"/>
    <x v="1"/>
  </r>
  <r>
    <x v="23"/>
    <x v="13"/>
    <s v="Jordan Boone"/>
    <x v="1"/>
    <x v="30"/>
    <x v="5"/>
    <n v="250"/>
    <n v="25"/>
    <x v="51"/>
    <x v="0"/>
    <x v="3"/>
  </r>
  <r>
    <x v="74"/>
    <x v="12"/>
    <s v="Nora Rollins"/>
    <x v="0"/>
    <x v="39"/>
    <x v="3"/>
    <n v="320"/>
    <n v="25"/>
    <x v="52"/>
    <x v="0"/>
    <x v="3"/>
  </r>
  <r>
    <x v="75"/>
    <x v="12"/>
    <s v="Steven Michael"/>
    <x v="1"/>
    <x v="27"/>
    <x v="4"/>
    <n v="400"/>
    <n v="25"/>
    <x v="37"/>
    <x v="0"/>
    <x v="3"/>
  </r>
  <r>
    <x v="76"/>
    <x v="12"/>
    <s v="Josue Roach"/>
    <x v="1"/>
    <x v="40"/>
    <x v="4"/>
    <n v="320"/>
    <n v="25"/>
    <x v="52"/>
    <x v="0"/>
    <x v="3"/>
  </r>
  <r>
    <x v="77"/>
    <x v="6"/>
    <s v="Harley Fritz"/>
    <x v="0"/>
    <x v="41"/>
    <x v="2"/>
    <n v="250"/>
    <n v="25"/>
    <x v="51"/>
    <x v="2"/>
    <x v="2"/>
  </r>
  <r>
    <x v="78"/>
    <x v="15"/>
    <s v="Jaidyn Andersen"/>
    <x v="0"/>
    <x v="35"/>
    <x v="0"/>
    <n v="150"/>
    <n v="25"/>
    <x v="50"/>
    <x v="0"/>
    <x v="0"/>
  </r>
  <r>
    <x v="79"/>
    <x v="16"/>
    <s v="Matthew McDonald"/>
    <x v="1"/>
    <x v="32"/>
    <x v="3"/>
    <n v="250"/>
    <n v="25"/>
    <x v="51"/>
    <x v="0"/>
    <x v="2"/>
  </r>
  <r>
    <x v="38"/>
    <x v="16"/>
    <s v="Anthony Henderson"/>
    <x v="1"/>
    <x v="39"/>
    <x v="4"/>
    <n v="320"/>
    <n v="25"/>
    <x v="52"/>
    <x v="0"/>
    <x v="2"/>
  </r>
  <r>
    <x v="80"/>
    <x v="8"/>
    <s v="Brian Munro"/>
    <x v="1"/>
    <x v="37"/>
    <x v="7"/>
    <n v="150"/>
    <n v="25"/>
    <x v="50"/>
    <x v="0"/>
    <x v="0"/>
  </r>
  <r>
    <x v="81"/>
    <x v="8"/>
    <s v="George Hughes"/>
    <x v="1"/>
    <x v="30"/>
    <x v="5"/>
    <n v="150"/>
    <n v="25"/>
    <x v="50"/>
    <x v="0"/>
    <x v="0"/>
  </r>
  <r>
    <x v="82"/>
    <x v="19"/>
    <s v="Edward King"/>
    <x v="1"/>
    <x v="34"/>
    <x v="5"/>
    <n v="320"/>
    <n v="25"/>
    <x v="52"/>
    <x v="0"/>
    <x v="0"/>
  </r>
  <r>
    <x v="83"/>
    <x v="9"/>
    <s v="Eric Jones"/>
    <x v="1"/>
    <x v="28"/>
    <x v="0"/>
    <n v="320"/>
    <n v="25"/>
    <x v="52"/>
    <x v="0"/>
    <x v="0"/>
  </r>
  <r>
    <x v="84"/>
    <x v="17"/>
    <s v="Diane Wood"/>
    <x v="0"/>
    <x v="42"/>
    <x v="6"/>
    <n v="150"/>
    <n v="25"/>
    <x v="50"/>
    <x v="0"/>
    <x v="2"/>
  </r>
  <r>
    <x v="85"/>
    <x v="10"/>
    <s v="Joan Thomson"/>
    <x v="0"/>
    <x v="38"/>
    <x v="3"/>
    <n v="400"/>
    <n v="25"/>
    <x v="37"/>
    <x v="1"/>
    <x v="3"/>
  </r>
  <r>
    <x v="86"/>
    <x v="1"/>
    <s v="Madison Lohan"/>
    <x v="0"/>
    <x v="38"/>
    <x v="1"/>
    <n v="320"/>
    <n v="23.56"/>
    <x v="53"/>
    <x v="1"/>
    <x v="3"/>
  </r>
  <r>
    <x v="87"/>
    <x v="3"/>
    <s v="Diana Torres"/>
    <x v="0"/>
    <x v="20"/>
    <x v="1"/>
    <n v="250"/>
    <n v="23.56"/>
    <x v="54"/>
    <x v="0"/>
    <x v="0"/>
  </r>
  <r>
    <x v="88"/>
    <x v="10"/>
    <s v="Christina Fergusson"/>
    <x v="0"/>
    <x v="38"/>
    <x v="3"/>
    <n v="400"/>
    <n v="23"/>
    <x v="55"/>
    <x v="1"/>
    <x v="3"/>
  </r>
  <r>
    <x v="89"/>
    <x v="4"/>
    <s v="Lori Campbell"/>
    <x v="0"/>
    <x v="39"/>
    <x v="3"/>
    <n v="400"/>
    <n v="22.04"/>
    <x v="56"/>
    <x v="0"/>
    <x v="1"/>
  </r>
  <r>
    <x v="90"/>
    <x v="5"/>
    <s v="Joshua Reid"/>
    <x v="1"/>
    <x v="30"/>
    <x v="4"/>
    <n v="320"/>
    <n v="20"/>
    <x v="57"/>
    <x v="0"/>
    <x v="0"/>
  </r>
  <r>
    <x v="77"/>
    <x v="6"/>
    <s v="Harley Fritz"/>
    <x v="0"/>
    <x v="41"/>
    <x v="2"/>
    <n v="150"/>
    <n v="15"/>
    <x v="58"/>
    <x v="2"/>
    <x v="2"/>
  </r>
  <r>
    <x v="77"/>
    <x v="6"/>
    <s v="Harley Fritz"/>
    <x v="0"/>
    <x v="41"/>
    <x v="2"/>
    <n v="250"/>
    <n v="10"/>
    <x v="5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D7C13-34A4-452F-B99A-23F0563FD6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showAll="0">
      <items count="92">
        <item x="73"/>
        <item x="7"/>
        <item x="77"/>
        <item x="71"/>
        <item x="22"/>
        <item x="23"/>
        <item x="62"/>
        <item x="74"/>
        <item x="15"/>
        <item x="75"/>
        <item x="24"/>
        <item x="76"/>
        <item x="44"/>
        <item x="45"/>
        <item x="25"/>
        <item x="26"/>
        <item x="78"/>
        <item x="69"/>
        <item x="27"/>
        <item x="54"/>
        <item x="39"/>
        <item x="32"/>
        <item x="8"/>
        <item x="28"/>
        <item x="55"/>
        <item x="40"/>
        <item x="29"/>
        <item x="79"/>
        <item x="38"/>
        <item x="42"/>
        <item x="6"/>
        <item x="9"/>
        <item x="33"/>
        <item x="56"/>
        <item x="90"/>
        <item x="10"/>
        <item x="80"/>
        <item x="81"/>
        <item x="63"/>
        <item x="41"/>
        <item x="50"/>
        <item x="82"/>
        <item x="51"/>
        <item x="70"/>
        <item x="35"/>
        <item x="21"/>
        <item x="11"/>
        <item x="83"/>
        <item x="64"/>
        <item x="60"/>
        <item x="16"/>
        <item x="0"/>
        <item x="59"/>
        <item x="34"/>
        <item x="30"/>
        <item x="84"/>
        <item x="52"/>
        <item x="53"/>
        <item x="65"/>
        <item x="36"/>
        <item x="37"/>
        <item x="88"/>
        <item x="85"/>
        <item x="72"/>
        <item x="12"/>
        <item x="61"/>
        <item x="13"/>
        <item x="57"/>
        <item x="48"/>
        <item x="49"/>
        <item x="31"/>
        <item x="86"/>
        <item x="17"/>
        <item x="46"/>
        <item x="47"/>
        <item x="1"/>
        <item x="14"/>
        <item x="18"/>
        <item x="2"/>
        <item x="3"/>
        <item x="66"/>
        <item x="87"/>
        <item x="19"/>
        <item x="4"/>
        <item x="43"/>
        <item x="67"/>
        <item x="89"/>
        <item x="20"/>
        <item x="5"/>
        <item x="58"/>
        <item x="68"/>
        <item t="default"/>
      </items>
    </pivotField>
    <pivotField numFmtId="14" showAll="0"/>
    <pivotField showAll="0"/>
    <pivotField showAll="0"/>
    <pivotField showAll="0">
      <items count="44">
        <item x="39"/>
        <item x="31"/>
        <item x="42"/>
        <item x="35"/>
        <item x="32"/>
        <item x="29"/>
        <item x="38"/>
        <item x="27"/>
        <item x="41"/>
        <item x="34"/>
        <item x="40"/>
        <item x="28"/>
        <item x="33"/>
        <item x="30"/>
        <item x="25"/>
        <item x="37"/>
        <item x="26"/>
        <item x="17"/>
        <item x="22"/>
        <item x="4"/>
        <item x="36"/>
        <item x="12"/>
        <item x="9"/>
        <item x="23"/>
        <item x="11"/>
        <item x="8"/>
        <item x="3"/>
        <item x="6"/>
        <item x="5"/>
        <item x="21"/>
        <item x="14"/>
        <item x="16"/>
        <item x="0"/>
        <item x="10"/>
        <item x="13"/>
        <item x="2"/>
        <item x="7"/>
        <item x="1"/>
        <item x="24"/>
        <item x="20"/>
        <item x="19"/>
        <item x="18"/>
        <item x="15"/>
        <item t="default"/>
      </items>
    </pivotField>
    <pivotField showAll="0">
      <items count="9">
        <item x="7"/>
        <item x="4"/>
        <item x="0"/>
        <item x="1"/>
        <item x="3"/>
        <item x="2"/>
        <item x="5"/>
        <item x="6"/>
        <item t="default"/>
      </items>
    </pivotField>
    <pivotField numFmtId="164" showAll="0"/>
    <pivotField numFmtId="1" showAll="0"/>
    <pivotField dataField="1" numFmtId="164" showAll="0">
      <items count="61">
        <item x="58"/>
        <item x="59"/>
        <item x="50"/>
        <item x="48"/>
        <item x="44"/>
        <item x="43"/>
        <item x="40"/>
        <item x="54"/>
        <item x="39"/>
        <item x="36"/>
        <item x="51"/>
        <item x="57"/>
        <item x="33"/>
        <item x="32"/>
        <item x="53"/>
        <item x="52"/>
        <item x="49"/>
        <item x="56"/>
        <item x="27"/>
        <item x="55"/>
        <item x="23"/>
        <item x="42"/>
        <item x="37"/>
        <item x="35"/>
        <item x="47"/>
        <item x="17"/>
        <item x="12"/>
        <item x="6"/>
        <item x="45"/>
        <item x="29"/>
        <item x="34"/>
        <item x="26"/>
        <item x="46"/>
        <item x="41"/>
        <item x="38"/>
        <item x="20"/>
        <item x="31"/>
        <item x="30"/>
        <item x="18"/>
        <item x="25"/>
        <item x="5"/>
        <item x="24"/>
        <item x="3"/>
        <item x="21"/>
        <item x="19"/>
        <item x="28"/>
        <item x="15"/>
        <item x="14"/>
        <item x="13"/>
        <item x="9"/>
        <item x="7"/>
        <item x="4"/>
        <item x="2"/>
        <item x="22"/>
        <item x="16"/>
        <item x="11"/>
        <item x="10"/>
        <item x="8"/>
        <item x="1"/>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s>
  <rowFields count="1">
    <field x="9"/>
  </rowFields>
  <rowItems count="4">
    <i>
      <x v="1"/>
    </i>
    <i>
      <x/>
    </i>
    <i>
      <x v="2"/>
    </i>
    <i t="grand">
      <x/>
    </i>
  </rowItems>
  <colItems count="1">
    <i/>
  </colItems>
  <dataFields count="1">
    <dataField name="Sum of Revenue" fld="8" baseField="0" baseItem="0" numFmtId="164"/>
  </dataFields>
  <chartFormats count="1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9" count="1" selected="0">
            <x v="1"/>
          </reference>
        </references>
      </pivotArea>
    </chartFormat>
    <chartFormat chart="7" format="15">
      <pivotArea type="data" outline="0" fieldPosition="0">
        <references count="2">
          <reference field="4294967294" count="1" selected="0">
            <x v="0"/>
          </reference>
          <reference field="9" count="1" selected="0">
            <x v="0"/>
          </reference>
        </references>
      </pivotArea>
    </chartFormat>
    <chartFormat chart="7" format="16">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58880-E2B1-48E5-B979-1ABAAC8A4A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1">
    <pivotField showAll="0">
      <items count="92">
        <item x="73"/>
        <item x="7"/>
        <item x="77"/>
        <item x="71"/>
        <item x="22"/>
        <item x="23"/>
        <item x="62"/>
        <item x="74"/>
        <item x="15"/>
        <item x="75"/>
        <item x="24"/>
        <item x="76"/>
        <item x="44"/>
        <item x="45"/>
        <item x="25"/>
        <item x="26"/>
        <item x="78"/>
        <item x="69"/>
        <item x="27"/>
        <item x="54"/>
        <item x="39"/>
        <item x="32"/>
        <item x="8"/>
        <item x="28"/>
        <item x="55"/>
        <item x="40"/>
        <item x="29"/>
        <item x="79"/>
        <item x="38"/>
        <item x="42"/>
        <item x="6"/>
        <item x="9"/>
        <item x="33"/>
        <item x="56"/>
        <item x="90"/>
        <item x="10"/>
        <item x="80"/>
        <item x="81"/>
        <item x="63"/>
        <item x="41"/>
        <item x="50"/>
        <item x="82"/>
        <item x="51"/>
        <item x="70"/>
        <item x="35"/>
        <item x="21"/>
        <item x="11"/>
        <item x="83"/>
        <item x="64"/>
        <item x="60"/>
        <item x="16"/>
        <item x="0"/>
        <item x="59"/>
        <item x="34"/>
        <item x="30"/>
        <item x="84"/>
        <item x="52"/>
        <item x="53"/>
        <item x="65"/>
        <item x="36"/>
        <item x="37"/>
        <item x="88"/>
        <item x="85"/>
        <item x="72"/>
        <item x="12"/>
        <item x="61"/>
        <item x="13"/>
        <item x="57"/>
        <item x="48"/>
        <item x="49"/>
        <item x="31"/>
        <item x="86"/>
        <item x="17"/>
        <item x="46"/>
        <item x="47"/>
        <item x="1"/>
        <item x="14"/>
        <item x="18"/>
        <item x="2"/>
        <item x="3"/>
        <item x="66"/>
        <item x="87"/>
        <item x="19"/>
        <item x="4"/>
        <item x="43"/>
        <item x="67"/>
        <item x="89"/>
        <item x="20"/>
        <item x="5"/>
        <item x="58"/>
        <item x="68"/>
        <item t="default"/>
      </items>
    </pivotField>
    <pivotField numFmtId="14" showAll="0"/>
    <pivotField showAll="0"/>
    <pivotField showAll="0"/>
    <pivotField showAll="0">
      <items count="44">
        <item x="39"/>
        <item x="31"/>
        <item x="42"/>
        <item x="35"/>
        <item x="32"/>
        <item x="29"/>
        <item x="38"/>
        <item x="27"/>
        <item x="41"/>
        <item x="34"/>
        <item x="40"/>
        <item x="28"/>
        <item x="33"/>
        <item x="30"/>
        <item x="25"/>
        <item x="37"/>
        <item x="26"/>
        <item x="17"/>
        <item x="22"/>
        <item x="4"/>
        <item x="36"/>
        <item x="12"/>
        <item x="9"/>
        <item x="23"/>
        <item x="11"/>
        <item x="8"/>
        <item x="3"/>
        <item x="6"/>
        <item x="5"/>
        <item x="21"/>
        <item x="14"/>
        <item x="16"/>
        <item x="0"/>
        <item x="10"/>
        <item x="13"/>
        <item x="2"/>
        <item x="7"/>
        <item x="1"/>
        <item x="24"/>
        <item x="20"/>
        <item x="19"/>
        <item x="18"/>
        <item x="15"/>
        <item t="default"/>
      </items>
    </pivotField>
    <pivotField showAll="0">
      <items count="9">
        <item x="7"/>
        <item x="4"/>
        <item x="0"/>
        <item x="1"/>
        <item x="3"/>
        <item x="2"/>
        <item x="5"/>
        <item x="6"/>
        <item t="default"/>
      </items>
    </pivotField>
    <pivotField numFmtId="164" showAll="0"/>
    <pivotField numFmtId="1" showAll="0"/>
    <pivotField dataField="1" numFmtId="164" showAll="0">
      <items count="61">
        <item x="58"/>
        <item x="59"/>
        <item x="50"/>
        <item x="48"/>
        <item x="44"/>
        <item x="43"/>
        <item x="40"/>
        <item x="54"/>
        <item x="39"/>
        <item x="36"/>
        <item x="51"/>
        <item x="57"/>
        <item x="33"/>
        <item x="32"/>
        <item x="53"/>
        <item x="52"/>
        <item x="49"/>
        <item x="56"/>
        <item x="27"/>
        <item x="55"/>
        <item x="23"/>
        <item x="42"/>
        <item x="37"/>
        <item x="35"/>
        <item x="47"/>
        <item x="17"/>
        <item x="12"/>
        <item x="6"/>
        <item x="45"/>
        <item x="29"/>
        <item x="34"/>
        <item x="26"/>
        <item x="46"/>
        <item x="41"/>
        <item x="38"/>
        <item x="20"/>
        <item x="31"/>
        <item x="30"/>
        <item x="18"/>
        <item x="25"/>
        <item x="5"/>
        <item x="24"/>
        <item x="3"/>
        <item x="21"/>
        <item x="19"/>
        <item x="28"/>
        <item x="15"/>
        <item x="14"/>
        <item x="13"/>
        <item x="9"/>
        <item x="7"/>
        <item x="4"/>
        <item x="2"/>
        <item x="22"/>
        <item x="16"/>
        <item x="11"/>
        <item x="10"/>
        <item x="8"/>
        <item x="1"/>
        <item x="0"/>
        <item t="default"/>
      </items>
    </pivotField>
    <pivotField showAll="0">
      <items count="4">
        <item x="1"/>
        <item x="0"/>
        <item x="2"/>
        <item t="default"/>
      </items>
    </pivotField>
    <pivotField axis="axisRow" showAll="0" sortType="a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0"/>
  </rowFields>
  <rowItems count="6">
    <i>
      <x v="4"/>
    </i>
    <i>
      <x v="3"/>
    </i>
    <i>
      <x v="1"/>
    </i>
    <i>
      <x v="2"/>
    </i>
    <i>
      <x/>
    </i>
    <i t="grand">
      <x/>
    </i>
  </rowItems>
  <colItems count="1">
    <i/>
  </colItems>
  <dataFields count="1">
    <dataField name="Sum of Revenue" fld="8" baseField="0" baseItem="0" numFmtId="164"/>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A9757-84DF-4BAC-972C-86AD6A1F4B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4" firstHeaderRow="1" firstDataRow="1" firstDataCol="1"/>
  <pivotFields count="11">
    <pivotField dataField="1" showAll="0">
      <items count="92">
        <item x="73"/>
        <item x="7"/>
        <item x="77"/>
        <item x="71"/>
        <item x="22"/>
        <item x="23"/>
        <item x="62"/>
        <item x="74"/>
        <item x="15"/>
        <item x="75"/>
        <item x="24"/>
        <item x="76"/>
        <item x="44"/>
        <item x="45"/>
        <item x="25"/>
        <item x="26"/>
        <item x="78"/>
        <item x="69"/>
        <item x="27"/>
        <item x="54"/>
        <item x="39"/>
        <item x="32"/>
        <item x="8"/>
        <item x="28"/>
        <item x="55"/>
        <item x="40"/>
        <item x="29"/>
        <item x="79"/>
        <item x="38"/>
        <item x="42"/>
        <item x="6"/>
        <item x="9"/>
        <item x="33"/>
        <item x="56"/>
        <item x="90"/>
        <item x="10"/>
        <item x="80"/>
        <item x="81"/>
        <item x="63"/>
        <item x="41"/>
        <item x="50"/>
        <item x="82"/>
        <item x="51"/>
        <item x="70"/>
        <item x="35"/>
        <item x="21"/>
        <item x="11"/>
        <item x="83"/>
        <item x="64"/>
        <item x="60"/>
        <item x="16"/>
        <item x="0"/>
        <item x="59"/>
        <item x="34"/>
        <item x="30"/>
        <item x="84"/>
        <item x="52"/>
        <item x="53"/>
        <item x="65"/>
        <item x="36"/>
        <item x="37"/>
        <item x="88"/>
        <item x="85"/>
        <item x="72"/>
        <item x="12"/>
        <item x="61"/>
        <item x="13"/>
        <item x="57"/>
        <item x="48"/>
        <item x="49"/>
        <item x="31"/>
        <item x="86"/>
        <item x="17"/>
        <item x="46"/>
        <item x="47"/>
        <item x="1"/>
        <item x="14"/>
        <item x="18"/>
        <item x="2"/>
        <item x="3"/>
        <item x="66"/>
        <item x="87"/>
        <item x="19"/>
        <item x="4"/>
        <item x="43"/>
        <item x="67"/>
        <item x="89"/>
        <item x="20"/>
        <item x="5"/>
        <item x="58"/>
        <item x="68"/>
        <item t="default"/>
      </items>
    </pivotField>
    <pivotField axis="axisRow" numFmtId="14" showAll="0" sortType="descending">
      <items count="21">
        <item x="6"/>
        <item x="13"/>
        <item x="12"/>
        <item x="14"/>
        <item x="15"/>
        <item x="7"/>
        <item x="16"/>
        <item x="5"/>
        <item x="8"/>
        <item x="19"/>
        <item x="9"/>
        <item x="0"/>
        <item x="17"/>
        <item x="18"/>
        <item x="10"/>
        <item x="11"/>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4">
        <item x="39"/>
        <item x="31"/>
        <item x="42"/>
        <item x="35"/>
        <item x="32"/>
        <item x="29"/>
        <item x="38"/>
        <item x="27"/>
        <item x="41"/>
        <item x="34"/>
        <item x="40"/>
        <item x="28"/>
        <item x="33"/>
        <item x="30"/>
        <item x="25"/>
        <item x="37"/>
        <item x="26"/>
        <item x="17"/>
        <item x="22"/>
        <item x="4"/>
        <item x="36"/>
        <item x="12"/>
        <item x="9"/>
        <item x="23"/>
        <item x="11"/>
        <item x="8"/>
        <item x="3"/>
        <item x="6"/>
        <item x="5"/>
        <item x="21"/>
        <item x="14"/>
        <item x="16"/>
        <item x="0"/>
        <item x="10"/>
        <item x="13"/>
        <item x="2"/>
        <item x="7"/>
        <item x="1"/>
        <item x="24"/>
        <item x="20"/>
        <item x="19"/>
        <item x="18"/>
        <item x="15"/>
        <item t="default"/>
      </items>
    </pivotField>
    <pivotField showAll="0">
      <items count="9">
        <item x="7"/>
        <item x="4"/>
        <item x="0"/>
        <item x="1"/>
        <item x="3"/>
        <item x="2"/>
        <item x="5"/>
        <item x="6"/>
        <item t="default"/>
      </items>
    </pivotField>
    <pivotField numFmtId="164" showAll="0"/>
    <pivotField numFmtId="1" showAll="0"/>
    <pivotField numFmtId="164" showAll="0">
      <items count="61">
        <item x="58"/>
        <item x="59"/>
        <item x="50"/>
        <item x="48"/>
        <item x="44"/>
        <item x="43"/>
        <item x="40"/>
        <item x="54"/>
        <item x="39"/>
        <item x="36"/>
        <item x="51"/>
        <item x="57"/>
        <item x="33"/>
        <item x="32"/>
        <item x="53"/>
        <item x="52"/>
        <item x="49"/>
        <item x="56"/>
        <item x="27"/>
        <item x="55"/>
        <item x="23"/>
        <item x="42"/>
        <item x="37"/>
        <item x="35"/>
        <item x="47"/>
        <item x="17"/>
        <item x="12"/>
        <item x="6"/>
        <item x="45"/>
        <item x="29"/>
        <item x="34"/>
        <item x="26"/>
        <item x="46"/>
        <item x="41"/>
        <item x="38"/>
        <item x="20"/>
        <item x="31"/>
        <item x="30"/>
        <item x="18"/>
        <item x="25"/>
        <item x="5"/>
        <item x="24"/>
        <item x="3"/>
        <item x="21"/>
        <item x="19"/>
        <item x="28"/>
        <item x="15"/>
        <item x="14"/>
        <item x="13"/>
        <item x="9"/>
        <item x="7"/>
        <item x="4"/>
        <item x="2"/>
        <item x="22"/>
        <item x="16"/>
        <item x="11"/>
        <item x="10"/>
        <item x="8"/>
        <item x="1"/>
        <item x="0"/>
        <item t="default"/>
      </items>
    </pivotField>
    <pivotField showAll="0">
      <items count="4">
        <item x="1"/>
        <item x="0"/>
        <item x="2"/>
        <item t="default"/>
      </items>
    </pivotField>
    <pivotField showAll="0">
      <items count="6">
        <item x="0"/>
        <item x="2"/>
        <item x="3"/>
        <item x="1"/>
        <item x="4"/>
        <item t="default"/>
      </items>
    </pivotField>
  </pivotFields>
  <rowFields count="1">
    <field x="1"/>
  </rowFields>
  <rowItems count="21">
    <i>
      <x v="6"/>
    </i>
    <i>
      <x v="7"/>
    </i>
    <i>
      <x v="11"/>
    </i>
    <i>
      <x v="16"/>
    </i>
    <i>
      <x v="14"/>
    </i>
    <i>
      <x v="4"/>
    </i>
    <i>
      <x v="10"/>
    </i>
    <i>
      <x v="5"/>
    </i>
    <i>
      <x v="12"/>
    </i>
    <i>
      <x v="1"/>
    </i>
    <i>
      <x v="15"/>
    </i>
    <i>
      <x v="17"/>
    </i>
    <i>
      <x v="2"/>
    </i>
    <i>
      <x v="18"/>
    </i>
    <i>
      <x v="19"/>
    </i>
    <i>
      <x/>
    </i>
    <i>
      <x v="9"/>
    </i>
    <i>
      <x v="3"/>
    </i>
    <i>
      <x v="8"/>
    </i>
    <i>
      <x v="13"/>
    </i>
    <i t="grand">
      <x/>
    </i>
  </rowItems>
  <colItems count="1">
    <i/>
  </colItems>
  <dataFields count="1">
    <dataField name="Count of Order ID" fld="0" subtotal="count" baseField="1" baseItem="2"/>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0E3724-4BD8-47A6-96F6-E536C1BC20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1">
    <pivotField showAll="0">
      <items count="92">
        <item x="73"/>
        <item x="7"/>
        <item x="77"/>
        <item x="71"/>
        <item x="22"/>
        <item x="23"/>
        <item x="62"/>
        <item x="74"/>
        <item x="15"/>
        <item x="75"/>
        <item x="24"/>
        <item x="76"/>
        <item x="44"/>
        <item x="45"/>
        <item x="25"/>
        <item x="26"/>
        <item x="78"/>
        <item x="69"/>
        <item x="27"/>
        <item x="54"/>
        <item x="39"/>
        <item x="32"/>
        <item x="8"/>
        <item x="28"/>
        <item x="55"/>
        <item x="40"/>
        <item x="29"/>
        <item x="79"/>
        <item x="38"/>
        <item x="42"/>
        <item x="6"/>
        <item x="9"/>
        <item x="33"/>
        <item x="56"/>
        <item x="90"/>
        <item x="10"/>
        <item x="80"/>
        <item x="81"/>
        <item x="63"/>
        <item x="41"/>
        <item x="50"/>
        <item x="82"/>
        <item x="51"/>
        <item x="70"/>
        <item x="35"/>
        <item x="21"/>
        <item x="11"/>
        <item x="83"/>
        <item x="64"/>
        <item x="60"/>
        <item x="16"/>
        <item x="0"/>
        <item x="59"/>
        <item x="34"/>
        <item x="30"/>
        <item x="84"/>
        <item x="52"/>
        <item x="53"/>
        <item x="65"/>
        <item x="36"/>
        <item x="37"/>
        <item x="88"/>
        <item x="85"/>
        <item x="72"/>
        <item x="12"/>
        <item x="61"/>
        <item x="13"/>
        <item x="57"/>
        <item x="48"/>
        <item x="49"/>
        <item x="31"/>
        <item x="86"/>
        <item x="17"/>
        <item x="46"/>
        <item x="47"/>
        <item x="1"/>
        <item x="14"/>
        <item x="18"/>
        <item x="2"/>
        <item x="3"/>
        <item x="66"/>
        <item x="87"/>
        <item x="19"/>
        <item x="4"/>
        <item x="43"/>
        <item x="67"/>
        <item x="89"/>
        <item x="20"/>
        <item x="5"/>
        <item x="58"/>
        <item x="68"/>
        <item t="default"/>
      </items>
    </pivotField>
    <pivotField numFmtId="14" showAll="0"/>
    <pivotField showAll="0"/>
    <pivotField axis="axisRow" showAll="0">
      <items count="3">
        <item x="0"/>
        <item x="1"/>
        <item t="default"/>
      </items>
    </pivotField>
    <pivotField dataField="1" showAll="0">
      <items count="44">
        <item x="39"/>
        <item x="31"/>
        <item x="42"/>
        <item x="35"/>
        <item x="32"/>
        <item x="29"/>
        <item x="38"/>
        <item x="27"/>
        <item x="41"/>
        <item x="34"/>
        <item x="40"/>
        <item x="28"/>
        <item x="33"/>
        <item x="30"/>
        <item x="25"/>
        <item x="37"/>
        <item x="26"/>
        <item x="17"/>
        <item x="22"/>
        <item x="4"/>
        <item x="36"/>
        <item x="12"/>
        <item x="9"/>
        <item x="23"/>
        <item x="11"/>
        <item x="8"/>
        <item x="3"/>
        <item x="6"/>
        <item x="5"/>
        <item x="21"/>
        <item x="14"/>
        <item x="16"/>
        <item x="0"/>
        <item x="10"/>
        <item x="13"/>
        <item x="2"/>
        <item x="7"/>
        <item x="1"/>
        <item x="24"/>
        <item x="20"/>
        <item x="19"/>
        <item x="18"/>
        <item x="15"/>
        <item t="default"/>
      </items>
    </pivotField>
    <pivotField showAll="0">
      <items count="9">
        <item x="7"/>
        <item x="4"/>
        <item x="0"/>
        <item x="1"/>
        <item x="3"/>
        <item x="2"/>
        <item x="5"/>
        <item x="6"/>
        <item t="default"/>
      </items>
    </pivotField>
    <pivotField numFmtId="164" showAll="0"/>
    <pivotField numFmtId="1" showAll="0"/>
    <pivotField numFmtId="164" showAll="0">
      <items count="61">
        <item x="58"/>
        <item x="59"/>
        <item x="50"/>
        <item x="48"/>
        <item x="44"/>
        <item x="43"/>
        <item x="40"/>
        <item x="54"/>
        <item x="39"/>
        <item x="36"/>
        <item x="51"/>
        <item x="57"/>
        <item x="33"/>
        <item x="32"/>
        <item x="53"/>
        <item x="52"/>
        <item x="49"/>
        <item x="56"/>
        <item x="27"/>
        <item x="55"/>
        <item x="23"/>
        <item x="42"/>
        <item x="37"/>
        <item x="35"/>
        <item x="47"/>
        <item x="17"/>
        <item x="12"/>
        <item x="6"/>
        <item x="45"/>
        <item x="29"/>
        <item x="34"/>
        <item x="26"/>
        <item x="46"/>
        <item x="41"/>
        <item x="38"/>
        <item x="20"/>
        <item x="31"/>
        <item x="30"/>
        <item x="18"/>
        <item x="25"/>
        <item x="5"/>
        <item x="24"/>
        <item x="3"/>
        <item x="21"/>
        <item x="19"/>
        <item x="28"/>
        <item x="15"/>
        <item x="14"/>
        <item x="13"/>
        <item x="9"/>
        <item x="7"/>
        <item x="4"/>
        <item x="2"/>
        <item x="22"/>
        <item x="16"/>
        <item x="11"/>
        <item x="10"/>
        <item x="8"/>
        <item x="1"/>
        <item x="0"/>
        <item t="default"/>
      </items>
    </pivotField>
    <pivotField showAll="0">
      <items count="4">
        <item x="1"/>
        <item x="0"/>
        <item x="2"/>
        <item t="default"/>
      </items>
    </pivotField>
    <pivotField showAll="0">
      <items count="6">
        <item x="0"/>
        <item x="2"/>
        <item x="3"/>
        <item x="1"/>
        <item x="4"/>
        <item t="default"/>
      </items>
    </pivotField>
  </pivotFields>
  <rowFields count="1">
    <field x="3"/>
  </rowFields>
  <rowItems count="3">
    <i>
      <x/>
    </i>
    <i>
      <x v="1"/>
    </i>
    <i t="grand">
      <x/>
    </i>
  </rowItems>
  <colItems count="1">
    <i/>
  </colItems>
  <dataFields count="1">
    <dataField name="Count of Age" fld="4" subtotal="count" baseField="3" baseItem="0"/>
  </dataField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AC0B59-3145-4386-8F9F-F74838D13E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1">
    <pivotField showAll="0">
      <items count="92">
        <item x="73"/>
        <item x="7"/>
        <item x="77"/>
        <item x="71"/>
        <item x="22"/>
        <item x="23"/>
        <item x="62"/>
        <item x="74"/>
        <item x="15"/>
        <item x="75"/>
        <item x="24"/>
        <item x="76"/>
        <item x="44"/>
        <item x="45"/>
        <item x="25"/>
        <item x="26"/>
        <item x="78"/>
        <item x="69"/>
        <item x="27"/>
        <item x="54"/>
        <item x="39"/>
        <item x="32"/>
        <item x="8"/>
        <item x="28"/>
        <item x="55"/>
        <item x="40"/>
        <item x="29"/>
        <item x="79"/>
        <item x="38"/>
        <item x="42"/>
        <item x="6"/>
        <item x="9"/>
        <item x="33"/>
        <item x="56"/>
        <item x="90"/>
        <item x="10"/>
        <item x="80"/>
        <item x="81"/>
        <item x="63"/>
        <item x="41"/>
        <item x="50"/>
        <item x="82"/>
        <item x="51"/>
        <item x="70"/>
        <item x="35"/>
        <item x="21"/>
        <item x="11"/>
        <item x="83"/>
        <item x="64"/>
        <item x="60"/>
        <item x="16"/>
        <item x="0"/>
        <item x="59"/>
        <item x="34"/>
        <item x="30"/>
        <item x="84"/>
        <item x="52"/>
        <item x="53"/>
        <item x="65"/>
        <item x="36"/>
        <item x="37"/>
        <item x="88"/>
        <item x="85"/>
        <item x="72"/>
        <item x="12"/>
        <item x="61"/>
        <item x="13"/>
        <item x="57"/>
        <item x="48"/>
        <item x="49"/>
        <item x="31"/>
        <item x="86"/>
        <item x="17"/>
        <item x="46"/>
        <item x="47"/>
        <item x="1"/>
        <item x="14"/>
        <item x="18"/>
        <item x="2"/>
        <item x="3"/>
        <item x="66"/>
        <item x="87"/>
        <item x="19"/>
        <item x="4"/>
        <item x="43"/>
        <item x="67"/>
        <item x="89"/>
        <item x="20"/>
        <item x="5"/>
        <item x="58"/>
        <item x="68"/>
        <item t="default"/>
      </items>
    </pivotField>
    <pivotField numFmtId="14" showAll="0"/>
    <pivotField showAll="0"/>
    <pivotField showAll="0"/>
    <pivotField showAll="0">
      <items count="44">
        <item x="39"/>
        <item x="31"/>
        <item x="42"/>
        <item x="35"/>
        <item x="32"/>
        <item x="29"/>
        <item x="38"/>
        <item x="27"/>
        <item x="41"/>
        <item x="34"/>
        <item x="40"/>
        <item x="28"/>
        <item x="33"/>
        <item x="30"/>
        <item x="25"/>
        <item x="37"/>
        <item x="26"/>
        <item x="17"/>
        <item x="22"/>
        <item x="4"/>
        <item x="36"/>
        <item x="12"/>
        <item x="9"/>
        <item x="23"/>
        <item x="11"/>
        <item x="8"/>
        <item x="3"/>
        <item x="6"/>
        <item x="5"/>
        <item x="21"/>
        <item x="14"/>
        <item x="16"/>
        <item x="0"/>
        <item x="10"/>
        <item x="13"/>
        <item x="2"/>
        <item x="7"/>
        <item x="1"/>
        <item x="24"/>
        <item x="20"/>
        <item x="19"/>
        <item x="18"/>
        <item x="15"/>
        <item t="default"/>
      </items>
    </pivotField>
    <pivotField axis="axisRow" showAll="0" sortType="descending">
      <items count="9">
        <item x="7"/>
        <item x="4"/>
        <item x="0"/>
        <item x="1"/>
        <item x="3"/>
        <item x="2"/>
        <item x="5"/>
        <item x="6"/>
        <item t="default"/>
      </items>
      <autoSortScope>
        <pivotArea dataOnly="0" outline="0" fieldPosition="0">
          <references count="1">
            <reference field="4294967294" count="1" selected="0">
              <x v="0"/>
            </reference>
          </references>
        </pivotArea>
      </autoSortScope>
    </pivotField>
    <pivotField numFmtId="164" showAll="0"/>
    <pivotField numFmtId="1" showAll="0"/>
    <pivotField dataField="1" numFmtId="164" showAll="0">
      <items count="61">
        <item x="58"/>
        <item x="59"/>
        <item x="50"/>
        <item x="48"/>
        <item x="44"/>
        <item x="43"/>
        <item x="40"/>
        <item x="54"/>
        <item x="39"/>
        <item x="36"/>
        <item x="51"/>
        <item x="57"/>
        <item x="33"/>
        <item x="32"/>
        <item x="53"/>
        <item x="52"/>
        <item x="49"/>
        <item x="56"/>
        <item x="27"/>
        <item x="55"/>
        <item x="23"/>
        <item x="42"/>
        <item x="37"/>
        <item x="35"/>
        <item x="47"/>
        <item x="17"/>
        <item x="12"/>
        <item x="6"/>
        <item x="45"/>
        <item x="29"/>
        <item x="34"/>
        <item x="26"/>
        <item x="46"/>
        <item x="41"/>
        <item x="38"/>
        <item x="20"/>
        <item x="31"/>
        <item x="30"/>
        <item x="18"/>
        <item x="25"/>
        <item x="5"/>
        <item x="24"/>
        <item x="3"/>
        <item x="21"/>
        <item x="19"/>
        <item x="28"/>
        <item x="15"/>
        <item x="14"/>
        <item x="13"/>
        <item x="9"/>
        <item x="7"/>
        <item x="4"/>
        <item x="2"/>
        <item x="22"/>
        <item x="16"/>
        <item x="11"/>
        <item x="10"/>
        <item x="8"/>
        <item x="1"/>
        <item x="0"/>
        <item t="default"/>
      </items>
    </pivotField>
    <pivotField showAll="0">
      <items count="4">
        <item x="1"/>
        <item x="0"/>
        <item x="2"/>
        <item t="default"/>
      </items>
    </pivotField>
    <pivotField showAll="0">
      <items count="6">
        <item x="0"/>
        <item x="2"/>
        <item x="3"/>
        <item x="1"/>
        <item x="4"/>
        <item t="default"/>
      </items>
    </pivotField>
  </pivotFields>
  <rowFields count="1">
    <field x="5"/>
  </rowFields>
  <rowItems count="9">
    <i>
      <x v="2"/>
    </i>
    <i>
      <x v="3"/>
    </i>
    <i>
      <x v="1"/>
    </i>
    <i>
      <x v="4"/>
    </i>
    <i>
      <x v="6"/>
    </i>
    <i>
      <x v="7"/>
    </i>
    <i>
      <x v="5"/>
    </i>
    <i>
      <x/>
    </i>
    <i t="grand">
      <x/>
    </i>
  </rowItems>
  <colItems count="1">
    <i/>
  </colItems>
  <dataFields count="1">
    <dataField name="Sum of Revenue" fld="8" baseField="0" baseItem="0" numFmtId="164"/>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E5311-B489-4AB7-8E45-B132093DAC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1">
    <pivotField showAll="0"/>
    <pivotField numFmtId="14" showAll="0"/>
    <pivotField showAll="0"/>
    <pivotField axis="axisRow" showAll="0">
      <items count="3">
        <item x="0"/>
        <item x="1"/>
        <item t="default"/>
      </items>
    </pivotField>
    <pivotField showAll="0"/>
    <pivotField showAll="0"/>
    <pivotField numFmtId="164" showAll="0"/>
    <pivotField numFmtId="1" showAll="0"/>
    <pivotField dataField="1" numFmtId="164" showAll="0"/>
    <pivotField showAll="0"/>
    <pivotField showAll="0"/>
  </pivotFields>
  <rowFields count="1">
    <field x="3"/>
  </rowFields>
  <rowItems count="3">
    <i>
      <x/>
    </i>
    <i>
      <x v="1"/>
    </i>
    <i t="grand">
      <x/>
    </i>
  </rowItems>
  <colItems count="1">
    <i/>
  </colItems>
  <dataFields count="1">
    <dataField name="Sum of Revenue" fld="8" baseField="0" baseItem="0" numFmtId="164"/>
  </dataField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AA1E97B7-88D0-4AB8-BFF6-C98C9F7359AB}" sourceName="Order ID">
  <pivotTables>
    <pivotTable tabId="6" name="PivotTable4"/>
    <pivotTable tabId="3" name="PivotTable1"/>
    <pivotTable tabId="4" name="PivotTable2"/>
    <pivotTable tabId="5" name="PivotTable3"/>
    <pivotTable tabId="7" name="PivotTable5"/>
  </pivotTables>
  <data>
    <tabular pivotCacheId="133960099">
      <items count="91">
        <i x="73" s="1"/>
        <i x="7" s="1"/>
        <i x="77" s="1"/>
        <i x="71" s="1"/>
        <i x="22" s="1"/>
        <i x="23" s="1"/>
        <i x="62" s="1"/>
        <i x="74" s="1"/>
        <i x="15" s="1"/>
        <i x="75" s="1"/>
        <i x="24" s="1"/>
        <i x="76" s="1"/>
        <i x="44" s="1"/>
        <i x="45" s="1"/>
        <i x="25" s="1"/>
        <i x="26" s="1"/>
        <i x="78" s="1"/>
        <i x="69" s="1"/>
        <i x="27" s="1"/>
        <i x="54" s="1"/>
        <i x="39" s="1"/>
        <i x="32" s="1"/>
        <i x="8" s="1"/>
        <i x="28" s="1"/>
        <i x="55" s="1"/>
        <i x="40" s="1"/>
        <i x="29" s="1"/>
        <i x="79" s="1"/>
        <i x="38" s="1"/>
        <i x="42" s="1"/>
        <i x="6" s="1"/>
        <i x="9" s="1"/>
        <i x="33" s="1"/>
        <i x="56" s="1"/>
        <i x="90" s="1"/>
        <i x="10" s="1"/>
        <i x="80" s="1"/>
        <i x="81" s="1"/>
        <i x="63" s="1"/>
        <i x="41" s="1"/>
        <i x="50" s="1"/>
        <i x="82" s="1"/>
        <i x="51" s="1"/>
        <i x="70" s="1"/>
        <i x="35" s="1"/>
        <i x="21" s="1"/>
        <i x="11" s="1"/>
        <i x="83" s="1"/>
        <i x="64" s="1"/>
        <i x="60" s="1"/>
        <i x="16" s="1"/>
        <i x="0" s="1"/>
        <i x="59" s="1"/>
        <i x="34" s="1"/>
        <i x="30" s="1"/>
        <i x="84" s="1"/>
        <i x="52" s="1"/>
        <i x="53" s="1"/>
        <i x="65" s="1"/>
        <i x="36" s="1"/>
        <i x="37" s="1"/>
        <i x="88" s="1"/>
        <i x="85" s="1"/>
        <i x="72" s="1"/>
        <i x="12" s="1"/>
        <i x="61" s="1"/>
        <i x="13" s="1"/>
        <i x="57" s="1"/>
        <i x="48" s="1"/>
        <i x="49" s="1"/>
        <i x="31" s="1"/>
        <i x="86" s="1"/>
        <i x="17" s="1"/>
        <i x="46" s="1"/>
        <i x="47" s="1"/>
        <i x="1" s="1"/>
        <i x="14" s="1"/>
        <i x="18" s="1"/>
        <i x="2" s="1"/>
        <i x="3" s="1"/>
        <i x="66" s="1"/>
        <i x="87" s="1"/>
        <i x="19" s="1"/>
        <i x="4" s="1"/>
        <i x="43" s="1"/>
        <i x="67" s="1"/>
        <i x="89" s="1"/>
        <i x="20" s="1"/>
        <i x="5" s="1"/>
        <i x="58"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F2F98DA-1AC7-42B9-AD3D-2CD0A55DC54A}" sourceName="Gender">
  <pivotTables>
    <pivotTable tabId="6" name="PivotTable4"/>
  </pivotTables>
  <data>
    <tabular pivotCacheId="1339600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E76C0684-8CC1-4DAB-A53B-4631E82CB990}" sourceName="Age">
  <pivotTables>
    <pivotTable tabId="6" name="PivotTable4"/>
    <pivotTable tabId="3" name="PivotTable1"/>
    <pivotTable tabId="4" name="PivotTable2"/>
    <pivotTable tabId="5" name="PivotTable3"/>
    <pivotTable tabId="7" name="PivotTable5"/>
  </pivotTables>
  <data>
    <tabular pivotCacheId="133960099">
      <items count="43">
        <i x="39" s="1"/>
        <i x="31" s="1"/>
        <i x="42" s="1"/>
        <i x="35" s="1"/>
        <i x="32" s="1"/>
        <i x="29" s="1"/>
        <i x="38" s="1"/>
        <i x="27" s="1"/>
        <i x="41" s="1"/>
        <i x="34" s="1"/>
        <i x="40" s="1"/>
        <i x="28" s="1"/>
        <i x="33" s="1"/>
        <i x="30" s="1"/>
        <i x="25" s="1"/>
        <i x="37" s="1"/>
        <i x="26" s="1"/>
        <i x="17" s="1"/>
        <i x="22" s="1"/>
        <i x="4" s="1"/>
        <i x="36" s="1"/>
        <i x="12" s="1"/>
        <i x="9" s="1"/>
        <i x="23" s="1"/>
        <i x="11" s="1"/>
        <i x="8" s="1"/>
        <i x="3" s="1"/>
        <i x="6" s="1"/>
        <i x="5" s="1"/>
        <i x="21" s="1"/>
        <i x="14" s="1"/>
        <i x="16" s="1"/>
        <i x="0" s="1"/>
        <i x="10" s="1"/>
        <i x="13" s="1"/>
        <i x="2" s="1"/>
        <i x="7" s="1"/>
        <i x="1" s="1"/>
        <i x="24" s="1"/>
        <i x="20" s="1"/>
        <i x="19" s="1"/>
        <i x="18"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08D74A1-44FE-4FD1-A154-F0C0BA3E07DF}" sourceName="Country">
  <pivotTables>
    <pivotTable tabId="6" name="PivotTable4"/>
    <pivotTable tabId="3" name="PivotTable1"/>
    <pivotTable tabId="4" name="PivotTable2"/>
    <pivotTable tabId="5" name="PivotTable3"/>
    <pivotTable tabId="7" name="PivotTable5"/>
  </pivotTables>
  <data>
    <tabular pivotCacheId="133960099">
      <items count="8">
        <i x="7" s="1"/>
        <i x="4" s="1"/>
        <i x="0" s="1"/>
        <i x="1" s="1"/>
        <i x="3" s="1"/>
        <i x="2"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DBA274F6-30DE-4BF5-BD0B-DEF22D887B99}" sourceName="Revenue">
  <pivotTables>
    <pivotTable tabId="6" name="PivotTable4"/>
    <pivotTable tabId="3" name="PivotTable1"/>
    <pivotTable tabId="4" name="PivotTable2"/>
    <pivotTable tabId="5" name="PivotTable3"/>
    <pivotTable tabId="7" name="PivotTable5"/>
  </pivotTables>
  <data>
    <tabular pivotCacheId="133960099">
      <items count="60">
        <i x="58" s="1"/>
        <i x="59" s="1"/>
        <i x="50" s="1"/>
        <i x="48" s="1"/>
        <i x="44" s="1"/>
        <i x="43" s="1"/>
        <i x="40" s="1"/>
        <i x="54" s="1"/>
        <i x="39" s="1"/>
        <i x="36" s="1"/>
        <i x="51" s="1"/>
        <i x="57" s="1"/>
        <i x="33" s="1"/>
        <i x="32" s="1"/>
        <i x="53" s="1"/>
        <i x="52" s="1"/>
        <i x="49" s="1"/>
        <i x="56" s="1"/>
        <i x="27" s="1"/>
        <i x="55" s="1"/>
        <i x="23" s="1"/>
        <i x="42" s="1"/>
        <i x="37" s="1"/>
        <i x="35" s="1"/>
        <i x="47" s="1"/>
        <i x="17" s="1"/>
        <i x="12" s="1"/>
        <i x="6" s="1"/>
        <i x="45" s="1"/>
        <i x="29" s="1"/>
        <i x="34" s="1"/>
        <i x="26" s="1"/>
        <i x="46" s="1"/>
        <i x="41" s="1"/>
        <i x="38" s="1"/>
        <i x="20" s="1"/>
        <i x="31" s="1"/>
        <i x="30" s="1"/>
        <i x="18" s="1"/>
        <i x="25" s="1"/>
        <i x="5" s="1"/>
        <i x="24" s="1"/>
        <i x="3" s="1"/>
        <i x="21" s="1"/>
        <i x="19" s="1"/>
        <i x="28" s="1"/>
        <i x="15" s="1"/>
        <i x="14" s="1"/>
        <i x="13" s="1"/>
        <i x="9" s="1"/>
        <i x="7" s="1"/>
        <i x="4" s="1"/>
        <i x="2" s="1"/>
        <i x="22" s="1"/>
        <i x="16" s="1"/>
        <i x="11" s="1"/>
        <i x="10" s="1"/>
        <i x="8"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_Method" xr10:uid="{F7C1ADA1-4F70-4D16-9E25-EA4F75E43BA9}" sourceName="Payment _x000a_Method">
  <pivotTables>
    <pivotTable tabId="6" name="PivotTable4"/>
    <pivotTable tabId="3" name="PivotTable1"/>
    <pivotTable tabId="4" name="PivotTable2"/>
    <pivotTable tabId="5" name="PivotTable3"/>
    <pivotTable tabId="7" name="PivotTable5"/>
  </pivotTables>
  <data>
    <tabular pivotCacheId="133960099">
      <items count="3">
        <i x="1"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C4C6F4B-CF64-475E-AA54-9E539CC782F0}" sourceName="Salesperson">
  <pivotTables>
    <pivotTable tabId="6" name="PivotTable4"/>
    <pivotTable tabId="3" name="PivotTable1"/>
    <pivotTable tabId="4" name="PivotTable2"/>
    <pivotTable tabId="5" name="PivotTable3"/>
    <pivotTable tabId="7" name="PivotTable5"/>
  </pivotTables>
  <data>
    <tabular pivotCacheId="133960099">
      <items count="5">
        <i x="0" s="1"/>
        <i x="2"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F3461DD5-75F0-4B16-9BDE-432EA7D76F4F}" cache="Slicer_Order_ID" caption="Order ID" style="SlicerStyleLight4" rowHeight="257175"/>
  <slicer name="Gender" xr10:uid="{D1572D17-C1FF-409C-B0DE-93ABF981BDC8}" cache="Slicer_Gender" caption="Gender" rowHeight="257175"/>
  <slicer name="Age" xr10:uid="{BA8DC54B-B6EA-4948-8C76-AB476BED48D2}" cache="Slicer_Age" caption="Age" style="SlicerStyleDark1" rowHeight="257175"/>
  <slicer name="Country" xr10:uid="{670097D0-EE4D-4CFD-8536-E9F427871202}" cache="Slicer_Country" caption="Country" style="SlicerStyleDark6" rowHeight="257175"/>
  <slicer name="Revenue" xr10:uid="{3909528A-FE63-498B-BE19-AD81DB6F06BE}" cache="Slicer_Revenue" caption="Revenue" style="SlicerStyleDark2" rowHeight="257175"/>
  <slicer name="Payment _x000a_Method" xr10:uid="{5BE4015E-F74E-4185-9E2D-21EFAEF56043}" cache="Slicer_Payment__Method" caption="Payment _x000a_Method" style="SlicerStyleDark5" rowHeight="257175"/>
  <slicer name="Salesperson" xr10:uid="{057A9E06-8848-4195-B5C3-A2F02348F49E}" cache="Slicer_Salesperson" caption="Salesperson"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AA57A-E1B7-43A4-95F3-E4F7C18C7424}" name="Table1" displayName="Table1" ref="A1:K99" totalsRowShown="0" headerRowDxfId="9" headerRowBorderDxfId="8">
  <autoFilter ref="A1:K99" xr:uid="{F4FAA57A-E1B7-43A4-95F3-E4F7C18C74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C322432-D669-4769-B748-883C7EAB3E98}" name="Order ID" dataDxfId="7"/>
    <tableColumn id="2" xr3:uid="{D8724894-8FDB-44C9-9163-FD0ED0B98FA7}" name="Date" dataDxfId="6"/>
    <tableColumn id="13" xr3:uid="{B345B07C-3584-4A29-8CB4-E0F4C903DA4E}" name="Names" dataDxfId="5"/>
    <tableColumn id="5" xr3:uid="{74538A5C-487B-4387-9ED7-DFB532F40FC3}" name="Gender"/>
    <tableColumn id="6" xr3:uid="{97EBBA97-21A8-4B58-ADD3-F9C0B414DB6E}" name="Age" dataDxfId="4"/>
    <tableColumn id="7" xr3:uid="{A1D25E9E-2349-439B-BD57-CC4DE649C246}" name="Country"/>
    <tableColumn id="8" xr3:uid="{635970B3-1E24-48F2-AB9A-08E70C0DB17B}" name="Price" dataDxfId="3" dataCellStyle="Currency"/>
    <tableColumn id="9" xr3:uid="{681D559D-EFF5-4F69-B1E2-216CA3A72807}" name="Units" dataDxfId="2"/>
    <tableColumn id="10" xr3:uid="{4895BDD8-FD9F-4FA5-808C-E3FB1F8F611D}" name="Revenue" dataDxfId="1"/>
    <tableColumn id="11" xr3:uid="{45A12908-22AF-42F8-B26D-0595F53024D3}" name="Payment _x000a_Method"/>
    <tableColumn id="14" xr3:uid="{6A382BE8-D61E-4732-BBD2-556DE199454A}" name="Salespers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0E99-2E98-40A1-AB4F-60EC8A59DF82}">
  <dimension ref="B3:D16"/>
  <sheetViews>
    <sheetView showGridLines="0" zoomScale="70" zoomScaleNormal="70" workbookViewId="0">
      <selection activeCell="C9" sqref="C9"/>
    </sheetView>
  </sheetViews>
  <sheetFormatPr defaultColWidth="10.875" defaultRowHeight="15.75" x14ac:dyDescent="0.25"/>
  <cols>
    <col min="1" max="1" width="10.875" style="6"/>
    <col min="2" max="2" width="8.5" style="6" customWidth="1"/>
    <col min="3" max="3" width="102.625" style="6" bestFit="1" customWidth="1"/>
    <col min="4" max="4" width="9.5" style="6" customWidth="1"/>
    <col min="5" max="16384" width="10.875" style="6"/>
  </cols>
  <sheetData>
    <row r="3" spans="2:4" ht="61.5" x14ac:dyDescent="0.25">
      <c r="B3" s="3"/>
      <c r="C3" s="4" t="s">
        <v>28</v>
      </c>
      <c r="D3" s="5"/>
    </row>
    <row r="4" spans="2:4" ht="54" customHeight="1" x14ac:dyDescent="0.25">
      <c r="B4" s="7"/>
      <c r="C4" s="8"/>
      <c r="D4" s="9"/>
    </row>
    <row r="5" spans="2:4" ht="32.1" customHeight="1" x14ac:dyDescent="0.25">
      <c r="B5" s="7"/>
      <c r="C5" s="8"/>
      <c r="D5" s="9"/>
    </row>
    <row r="6" spans="2:4" x14ac:dyDescent="0.25">
      <c r="B6" s="7"/>
      <c r="C6"/>
      <c r="D6" s="9"/>
    </row>
    <row r="7" spans="2:4" s="13" customFormat="1" ht="21" x14ac:dyDescent="0.35">
      <c r="B7" s="10"/>
      <c r="C7" s="11" t="s">
        <v>29</v>
      </c>
      <c r="D7" s="12"/>
    </row>
    <row r="8" spans="2:4" s="13" customFormat="1" x14ac:dyDescent="0.25">
      <c r="B8" s="10"/>
      <c r="C8" s="14"/>
      <c r="D8" s="12"/>
    </row>
    <row r="9" spans="2:4" s="18" customFormat="1" ht="31.5" x14ac:dyDescent="0.25">
      <c r="B9" s="15"/>
      <c r="C9" s="16" t="s">
        <v>30</v>
      </c>
      <c r="D9" s="17"/>
    </row>
    <row r="10" spans="2:4" x14ac:dyDescent="0.25">
      <c r="B10" s="7"/>
      <c r="C10"/>
      <c r="D10" s="9"/>
    </row>
    <row r="11" spans="2:4" ht="18.75" x14ac:dyDescent="0.3">
      <c r="B11" s="7"/>
      <c r="C11" s="19" t="s">
        <v>31</v>
      </c>
      <c r="D11" s="9"/>
    </row>
    <row r="12" spans="2:4" x14ac:dyDescent="0.25">
      <c r="B12" s="7"/>
      <c r="C12"/>
      <c r="D12" s="9"/>
    </row>
    <row r="13" spans="2:4" x14ac:dyDescent="0.25">
      <c r="B13" s="7"/>
      <c r="C13" s="20" t="s">
        <v>32</v>
      </c>
      <c r="D13" s="9"/>
    </row>
    <row r="14" spans="2:4" x14ac:dyDescent="0.25">
      <c r="B14" s="7"/>
      <c r="C14" t="s">
        <v>33</v>
      </c>
      <c r="D14" s="9"/>
    </row>
    <row r="15" spans="2:4" ht="31.5" x14ac:dyDescent="0.25">
      <c r="B15" s="7"/>
      <c r="C15" s="21" t="s">
        <v>34</v>
      </c>
      <c r="D15" s="9"/>
    </row>
    <row r="16" spans="2:4" x14ac:dyDescent="0.25">
      <c r="B16" s="22"/>
      <c r="C16" s="23"/>
      <c r="D16" s="24"/>
    </row>
  </sheetData>
  <sheetProtection algorithmName="SHA-512" hashValue="7DENXa7lfI9T19PwKKE0k0dkb+yXrEk0uwPZuzv7fE0dQWL2C7sIJZ/ybnSOcSRRTjfQOALcPsM37Dcflvp9ug==" saltValue="pI5NF9qz1Zz0pAo5uONaBA==" spinCount="100000" sheet="1" objects="1" scenarios="1"/>
  <hyperlinks>
    <hyperlink ref="C11" r:id="rId1" display="Made by Kenji Explains" xr:uid="{2B80A67B-B95C-4AF3-ACFA-A32A9723EC61}"/>
    <hyperlink ref="C9" r:id="rId2" xr:uid="{595CF287-11E4-4D21-B2C1-337A48701191}"/>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7ADC2-5F17-49B7-9558-81DAD65539E4}">
  <dimension ref="A3:B7"/>
  <sheetViews>
    <sheetView workbookViewId="0">
      <selection activeCell="K14" sqref="K14"/>
    </sheetView>
  </sheetViews>
  <sheetFormatPr defaultRowHeight="15.75" x14ac:dyDescent="0.25"/>
  <cols>
    <col min="1" max="1" width="12.375" bestFit="1" customWidth="1"/>
    <col min="2" max="2" width="14.875" bestFit="1" customWidth="1"/>
  </cols>
  <sheetData>
    <row r="3" spans="1:2" x14ac:dyDescent="0.25">
      <c r="A3" s="37" t="s">
        <v>131</v>
      </c>
      <c r="B3" t="s">
        <v>133</v>
      </c>
    </row>
    <row r="4" spans="1:2" x14ac:dyDescent="0.25">
      <c r="A4" s="1" t="s">
        <v>12</v>
      </c>
      <c r="B4" s="36">
        <v>1088520</v>
      </c>
    </row>
    <row r="5" spans="1:2" x14ac:dyDescent="0.25">
      <c r="A5" s="1" t="s">
        <v>14</v>
      </c>
      <c r="B5" s="36">
        <v>309088.8</v>
      </c>
    </row>
    <row r="6" spans="1:2" x14ac:dyDescent="0.25">
      <c r="A6" s="1" t="s">
        <v>20</v>
      </c>
      <c r="B6" s="36">
        <v>34750</v>
      </c>
    </row>
    <row r="7" spans="1:2" x14ac:dyDescent="0.25">
      <c r="A7" s="1" t="s">
        <v>132</v>
      </c>
      <c r="B7" s="36">
        <v>1432358.8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EF36-1F37-461B-A7E6-22FCA042777F}">
  <dimension ref="A3:B9"/>
  <sheetViews>
    <sheetView workbookViewId="0">
      <selection activeCell="A7" sqref="A4:A8"/>
    </sheetView>
  </sheetViews>
  <sheetFormatPr defaultRowHeight="15.75" x14ac:dyDescent="0.25"/>
  <cols>
    <col min="1" max="1" width="12.375" bestFit="1" customWidth="1"/>
    <col min="2" max="2" width="14.875" bestFit="1" customWidth="1"/>
  </cols>
  <sheetData>
    <row r="3" spans="1:2" x14ac:dyDescent="0.25">
      <c r="A3" s="37" t="s">
        <v>131</v>
      </c>
      <c r="B3" t="s">
        <v>133</v>
      </c>
    </row>
    <row r="4" spans="1:2" x14ac:dyDescent="0.25">
      <c r="A4" s="1" t="s">
        <v>22</v>
      </c>
      <c r="B4" s="36">
        <v>40900</v>
      </c>
    </row>
    <row r="5" spans="1:2" x14ac:dyDescent="0.25">
      <c r="A5" s="1" t="s">
        <v>26</v>
      </c>
      <c r="B5" s="36">
        <v>166336</v>
      </c>
    </row>
    <row r="6" spans="1:2" x14ac:dyDescent="0.25">
      <c r="A6" s="1" t="s">
        <v>25</v>
      </c>
      <c r="B6" s="36">
        <v>225340</v>
      </c>
    </row>
    <row r="7" spans="1:2" x14ac:dyDescent="0.25">
      <c r="A7" s="1" t="s">
        <v>24</v>
      </c>
      <c r="B7" s="36">
        <v>297258.8</v>
      </c>
    </row>
    <row r="8" spans="1:2" x14ac:dyDescent="0.25">
      <c r="A8" s="1" t="s">
        <v>15</v>
      </c>
      <c r="B8" s="36">
        <v>702524</v>
      </c>
    </row>
    <row r="9" spans="1:2" x14ac:dyDescent="0.25">
      <c r="A9" s="1" t="s">
        <v>132</v>
      </c>
      <c r="B9" s="36">
        <v>1432358.8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98801-446E-4949-B55B-61EAB1AE1D0B}">
  <dimension ref="A3:B24"/>
  <sheetViews>
    <sheetView workbookViewId="0">
      <selection activeCell="G19" sqref="G19"/>
    </sheetView>
  </sheetViews>
  <sheetFormatPr defaultRowHeight="15.75" x14ac:dyDescent="0.25"/>
  <cols>
    <col min="1" max="1" width="12.375" bestFit="1" customWidth="1"/>
    <col min="2" max="2" width="16.125" bestFit="1" customWidth="1"/>
  </cols>
  <sheetData>
    <row r="3" spans="1:2" x14ac:dyDescent="0.25">
      <c r="A3" s="37" t="s">
        <v>131</v>
      </c>
      <c r="B3" t="s">
        <v>134</v>
      </c>
    </row>
    <row r="4" spans="1:2" x14ac:dyDescent="0.25">
      <c r="A4" s="31">
        <v>45090</v>
      </c>
      <c r="B4">
        <v>7</v>
      </c>
    </row>
    <row r="5" spans="1:2" x14ac:dyDescent="0.25">
      <c r="A5" s="31">
        <v>45091</v>
      </c>
      <c r="B5">
        <v>6</v>
      </c>
    </row>
    <row r="6" spans="1:2" x14ac:dyDescent="0.25">
      <c r="A6" s="31">
        <v>45095</v>
      </c>
      <c r="B6">
        <v>5</v>
      </c>
    </row>
    <row r="7" spans="1:2" x14ac:dyDescent="0.25">
      <c r="A7" s="31">
        <v>45100</v>
      </c>
      <c r="B7">
        <v>5</v>
      </c>
    </row>
    <row r="8" spans="1:2" x14ac:dyDescent="0.25">
      <c r="A8" s="31">
        <v>45098</v>
      </c>
      <c r="B8">
        <v>5</v>
      </c>
    </row>
    <row r="9" spans="1:2" x14ac:dyDescent="0.25">
      <c r="A9" s="31">
        <v>45088</v>
      </c>
      <c r="B9">
        <v>5</v>
      </c>
    </row>
    <row r="10" spans="1:2" x14ac:dyDescent="0.25">
      <c r="A10" s="31">
        <v>45094</v>
      </c>
      <c r="B10">
        <v>5</v>
      </c>
    </row>
    <row r="11" spans="1:2" x14ac:dyDescent="0.25">
      <c r="A11" s="31">
        <v>45089</v>
      </c>
      <c r="B11">
        <v>5</v>
      </c>
    </row>
    <row r="12" spans="1:2" x14ac:dyDescent="0.25">
      <c r="A12" s="31">
        <v>45096</v>
      </c>
      <c r="B12">
        <v>5</v>
      </c>
    </row>
    <row r="13" spans="1:2" x14ac:dyDescent="0.25">
      <c r="A13" s="31">
        <v>45085</v>
      </c>
      <c r="B13">
        <v>5</v>
      </c>
    </row>
    <row r="14" spans="1:2" x14ac:dyDescent="0.25">
      <c r="A14" s="31">
        <v>45099</v>
      </c>
      <c r="B14">
        <v>5</v>
      </c>
    </row>
    <row r="15" spans="1:2" x14ac:dyDescent="0.25">
      <c r="A15" s="31">
        <v>45101</v>
      </c>
      <c r="B15">
        <v>5</v>
      </c>
    </row>
    <row r="16" spans="1:2" x14ac:dyDescent="0.25">
      <c r="A16" s="31">
        <v>45086</v>
      </c>
      <c r="B16">
        <v>5</v>
      </c>
    </row>
    <row r="17" spans="1:2" x14ac:dyDescent="0.25">
      <c r="A17" s="31">
        <v>45102</v>
      </c>
      <c r="B17">
        <v>5</v>
      </c>
    </row>
    <row r="18" spans="1:2" x14ac:dyDescent="0.25">
      <c r="A18" s="31">
        <v>45103</v>
      </c>
      <c r="B18">
        <v>5</v>
      </c>
    </row>
    <row r="19" spans="1:2" x14ac:dyDescent="0.25">
      <c r="A19" s="31">
        <v>45084</v>
      </c>
      <c r="B19">
        <v>5</v>
      </c>
    </row>
    <row r="20" spans="1:2" x14ac:dyDescent="0.25">
      <c r="A20" s="31">
        <v>45093</v>
      </c>
      <c r="B20">
        <v>5</v>
      </c>
    </row>
    <row r="21" spans="1:2" x14ac:dyDescent="0.25">
      <c r="A21" s="31">
        <v>45087</v>
      </c>
      <c r="B21">
        <v>4</v>
      </c>
    </row>
    <row r="22" spans="1:2" x14ac:dyDescent="0.25">
      <c r="A22" s="31">
        <v>45092</v>
      </c>
      <c r="B22">
        <v>4</v>
      </c>
    </row>
    <row r="23" spans="1:2" x14ac:dyDescent="0.25">
      <c r="A23" s="31">
        <v>45097</v>
      </c>
      <c r="B23">
        <v>2</v>
      </c>
    </row>
    <row r="24" spans="1:2" x14ac:dyDescent="0.25">
      <c r="A24" s="31" t="s">
        <v>132</v>
      </c>
      <c r="B24">
        <v>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D386-CF1E-4E1A-AD82-149AE44F7515}">
  <dimension ref="A3:B6"/>
  <sheetViews>
    <sheetView workbookViewId="0">
      <selection activeCell="R26" sqref="R26"/>
    </sheetView>
  </sheetViews>
  <sheetFormatPr defaultRowHeight="15.75" x14ac:dyDescent="0.25"/>
  <cols>
    <col min="1" max="1" width="12.375" bestFit="1" customWidth="1"/>
    <col min="2" max="2" width="12" bestFit="1" customWidth="1"/>
  </cols>
  <sheetData>
    <row r="3" spans="1:2" x14ac:dyDescent="0.25">
      <c r="A3" s="37" t="s">
        <v>131</v>
      </c>
      <c r="B3" t="s">
        <v>135</v>
      </c>
    </row>
    <row r="4" spans="1:2" x14ac:dyDescent="0.25">
      <c r="A4" s="1" t="s">
        <v>10</v>
      </c>
      <c r="B4">
        <v>50</v>
      </c>
    </row>
    <row r="5" spans="1:2" x14ac:dyDescent="0.25">
      <c r="A5" s="1" t="s">
        <v>16</v>
      </c>
      <c r="B5">
        <v>48</v>
      </c>
    </row>
    <row r="6" spans="1:2" x14ac:dyDescent="0.25">
      <c r="A6" s="1" t="s">
        <v>132</v>
      </c>
      <c r="B6">
        <v>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3F26-54DA-400F-902B-2F05CD00127E}">
  <dimension ref="A3:B12"/>
  <sheetViews>
    <sheetView workbookViewId="0">
      <selection activeCell="I21" sqref="I21"/>
    </sheetView>
  </sheetViews>
  <sheetFormatPr defaultRowHeight="15.75" x14ac:dyDescent="0.25"/>
  <cols>
    <col min="1" max="1" width="12.375" bestFit="1" customWidth="1"/>
    <col min="2" max="2" width="14.875" bestFit="1" customWidth="1"/>
  </cols>
  <sheetData>
    <row r="3" spans="1:2" x14ac:dyDescent="0.25">
      <c r="A3" s="37" t="s">
        <v>131</v>
      </c>
      <c r="B3" t="s">
        <v>133</v>
      </c>
    </row>
    <row r="4" spans="1:2" x14ac:dyDescent="0.25">
      <c r="A4" s="1" t="s">
        <v>11</v>
      </c>
      <c r="B4" s="36">
        <v>309564</v>
      </c>
    </row>
    <row r="5" spans="1:2" x14ac:dyDescent="0.25">
      <c r="A5" s="1" t="s">
        <v>13</v>
      </c>
      <c r="B5" s="36">
        <v>273392.8</v>
      </c>
    </row>
    <row r="6" spans="1:2" x14ac:dyDescent="0.25">
      <c r="A6" s="1" t="s">
        <v>19</v>
      </c>
      <c r="B6" s="36">
        <v>224106</v>
      </c>
    </row>
    <row r="7" spans="1:2" x14ac:dyDescent="0.25">
      <c r="A7" s="1" t="s">
        <v>18</v>
      </c>
      <c r="B7" s="36">
        <v>221566</v>
      </c>
    </row>
    <row r="8" spans="1:2" x14ac:dyDescent="0.25">
      <c r="A8" s="1" t="s">
        <v>21</v>
      </c>
      <c r="B8" s="36">
        <v>218060</v>
      </c>
    </row>
    <row r="9" spans="1:2" x14ac:dyDescent="0.25">
      <c r="A9" s="1" t="s">
        <v>23</v>
      </c>
      <c r="B9" s="36">
        <v>93020</v>
      </c>
    </row>
    <row r="10" spans="1:2" x14ac:dyDescent="0.25">
      <c r="A10" s="1" t="s">
        <v>17</v>
      </c>
      <c r="B10" s="36">
        <v>88900</v>
      </c>
    </row>
    <row r="11" spans="1:2" x14ac:dyDescent="0.25">
      <c r="A11" s="1" t="s">
        <v>27</v>
      </c>
      <c r="B11" s="36">
        <v>3750</v>
      </c>
    </row>
    <row r="12" spans="1:2" x14ac:dyDescent="0.25">
      <c r="A12" s="1" t="s">
        <v>132</v>
      </c>
      <c r="B12" s="36">
        <v>1432358.8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F09D-7A8C-4416-B3CF-9D70C8B09991}">
  <dimension ref="A3:B6"/>
  <sheetViews>
    <sheetView workbookViewId="0">
      <selection activeCell="I4" sqref="I4"/>
    </sheetView>
  </sheetViews>
  <sheetFormatPr defaultRowHeight="15.75" x14ac:dyDescent="0.25"/>
  <cols>
    <col min="1" max="1" width="12.375" bestFit="1" customWidth="1"/>
    <col min="2" max="2" width="14.875" bestFit="1" customWidth="1"/>
  </cols>
  <sheetData>
    <row r="3" spans="1:2" x14ac:dyDescent="0.25">
      <c r="A3" s="37" t="s">
        <v>131</v>
      </c>
      <c r="B3" t="s">
        <v>133</v>
      </c>
    </row>
    <row r="4" spans="1:2" x14ac:dyDescent="0.25">
      <c r="A4" s="1" t="s">
        <v>10</v>
      </c>
      <c r="B4" s="36">
        <v>741228.79999999993</v>
      </c>
    </row>
    <row r="5" spans="1:2" x14ac:dyDescent="0.25">
      <c r="A5" s="1" t="s">
        <v>16</v>
      </c>
      <c r="B5" s="36">
        <v>691130</v>
      </c>
    </row>
    <row r="6" spans="1:2" x14ac:dyDescent="0.25">
      <c r="A6" s="1" t="s">
        <v>132</v>
      </c>
      <c r="B6" s="36">
        <v>1432358.7999999998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40D5-59B9-8549-AC9B-04DDD9AAED3D}">
  <dimension ref="A1:K99"/>
  <sheetViews>
    <sheetView tabSelected="1" zoomScale="120" zoomScaleNormal="120" workbookViewId="0">
      <selection activeCell="E8" sqref="E8"/>
    </sheetView>
  </sheetViews>
  <sheetFormatPr defaultColWidth="10.625" defaultRowHeight="15.75" x14ac:dyDescent="0.25"/>
  <cols>
    <col min="1" max="1" width="9.375" customWidth="1"/>
    <col min="2" max="2" width="10.875" style="30"/>
    <col min="3" max="3" width="18.5" style="30" bestFit="1" customWidth="1"/>
    <col min="5" max="5" width="5.875" style="2" customWidth="1"/>
    <col min="6" max="6" width="7.75" bestFit="1" customWidth="1"/>
    <col min="7" max="7" width="9" style="33" bestFit="1" customWidth="1"/>
    <col min="8" max="8" width="6.625" customWidth="1"/>
    <col min="9" max="9" width="10.375" bestFit="1" customWidth="1"/>
    <col min="10" max="10" width="10.625" bestFit="1" customWidth="1"/>
    <col min="11" max="11" width="12.125" bestFit="1" customWidth="1"/>
  </cols>
  <sheetData>
    <row r="1" spans="1:11" s="25" customFormat="1" ht="31.5" x14ac:dyDescent="0.25">
      <c r="A1" s="26" t="s">
        <v>0</v>
      </c>
      <c r="B1" s="29" t="s">
        <v>1</v>
      </c>
      <c r="C1" s="29" t="s">
        <v>130</v>
      </c>
      <c r="D1" s="26" t="s">
        <v>2</v>
      </c>
      <c r="E1" s="27" t="s">
        <v>3</v>
      </c>
      <c r="F1" s="26" t="s">
        <v>4</v>
      </c>
      <c r="G1" s="32" t="s">
        <v>5</v>
      </c>
      <c r="H1" s="26" t="s">
        <v>6</v>
      </c>
      <c r="I1" s="26" t="s">
        <v>7</v>
      </c>
      <c r="J1" s="28" t="s">
        <v>8</v>
      </c>
      <c r="K1" s="28" t="s">
        <v>9</v>
      </c>
    </row>
    <row r="2" spans="1:11" x14ac:dyDescent="0.25">
      <c r="A2" s="1">
        <v>10507</v>
      </c>
      <c r="B2" s="30">
        <v>45095</v>
      </c>
      <c r="C2" s="31" t="s">
        <v>35</v>
      </c>
      <c r="D2" t="s">
        <v>10</v>
      </c>
      <c r="E2" s="2">
        <v>55</v>
      </c>
      <c r="F2" t="s">
        <v>11</v>
      </c>
      <c r="G2" s="34">
        <v>400</v>
      </c>
      <c r="H2" s="35">
        <v>91</v>
      </c>
      <c r="I2" s="36">
        <v>36400</v>
      </c>
      <c r="J2" t="s">
        <v>12</v>
      </c>
      <c r="K2" t="s">
        <v>15</v>
      </c>
    </row>
    <row r="3" spans="1:11" x14ac:dyDescent="0.25">
      <c r="A3" s="1">
        <v>10534</v>
      </c>
      <c r="B3" s="30">
        <v>45100</v>
      </c>
      <c r="C3" s="31" t="s">
        <v>36</v>
      </c>
      <c r="D3" t="s">
        <v>10</v>
      </c>
      <c r="E3" s="2">
        <v>60</v>
      </c>
      <c r="F3" t="s">
        <v>13</v>
      </c>
      <c r="G3" s="34">
        <v>400</v>
      </c>
      <c r="H3" s="35">
        <v>83.6</v>
      </c>
      <c r="I3" s="36">
        <v>33440</v>
      </c>
      <c r="J3" t="s">
        <v>14</v>
      </c>
      <c r="K3" t="s">
        <v>15</v>
      </c>
    </row>
    <row r="4" spans="1:11" x14ac:dyDescent="0.25">
      <c r="A4" s="1">
        <v>10537</v>
      </c>
      <c r="B4" s="30">
        <v>45101</v>
      </c>
      <c r="C4" s="31" t="s">
        <v>37</v>
      </c>
      <c r="D4" t="s">
        <v>10</v>
      </c>
      <c r="E4" s="2">
        <v>58</v>
      </c>
      <c r="F4" t="s">
        <v>11</v>
      </c>
      <c r="G4" s="34">
        <v>320</v>
      </c>
      <c r="H4" s="35">
        <v>83.6</v>
      </c>
      <c r="I4" s="36">
        <v>26752</v>
      </c>
      <c r="J4" t="s">
        <v>12</v>
      </c>
      <c r="K4" t="s">
        <v>15</v>
      </c>
    </row>
    <row r="5" spans="1:11" x14ac:dyDescent="0.25">
      <c r="A5" s="1">
        <v>10538</v>
      </c>
      <c r="B5" s="30">
        <v>45101</v>
      </c>
      <c r="C5" s="31" t="s">
        <v>38</v>
      </c>
      <c r="D5" t="s">
        <v>10</v>
      </c>
      <c r="E5" s="2">
        <v>49</v>
      </c>
      <c r="F5" t="s">
        <v>11</v>
      </c>
      <c r="G5" s="34">
        <v>320</v>
      </c>
      <c r="H5" s="35">
        <v>83.6</v>
      </c>
      <c r="I5" s="36">
        <v>26752</v>
      </c>
      <c r="J5" t="s">
        <v>12</v>
      </c>
      <c r="K5" t="s">
        <v>15</v>
      </c>
    </row>
    <row r="6" spans="1:11" x14ac:dyDescent="0.25">
      <c r="A6" s="1">
        <v>10542</v>
      </c>
      <c r="B6" s="30">
        <v>45102</v>
      </c>
      <c r="C6" s="31" t="s">
        <v>39</v>
      </c>
      <c r="D6" t="s">
        <v>10</v>
      </c>
      <c r="E6" s="2">
        <v>42</v>
      </c>
      <c r="F6" t="s">
        <v>13</v>
      </c>
      <c r="G6" s="34">
        <v>400</v>
      </c>
      <c r="H6" s="35">
        <v>83.6</v>
      </c>
      <c r="I6" s="36">
        <v>33440</v>
      </c>
      <c r="J6" t="s">
        <v>12</v>
      </c>
      <c r="K6" t="s">
        <v>26</v>
      </c>
    </row>
    <row r="7" spans="1:11" x14ac:dyDescent="0.25">
      <c r="A7" s="1">
        <v>10547</v>
      </c>
      <c r="B7" s="30">
        <v>45103</v>
      </c>
      <c r="C7" s="31" t="s">
        <v>40</v>
      </c>
      <c r="D7" t="s">
        <v>16</v>
      </c>
      <c r="E7" s="2">
        <v>51</v>
      </c>
      <c r="F7" t="s">
        <v>17</v>
      </c>
      <c r="G7" s="34">
        <v>250</v>
      </c>
      <c r="H7" s="35">
        <v>83.6</v>
      </c>
      <c r="I7" s="36">
        <v>20900</v>
      </c>
      <c r="J7" t="s">
        <v>12</v>
      </c>
      <c r="K7" t="s">
        <v>26</v>
      </c>
    </row>
    <row r="8" spans="1:11" x14ac:dyDescent="0.25">
      <c r="A8" s="1">
        <v>10485</v>
      </c>
      <c r="B8" s="30">
        <v>45091</v>
      </c>
      <c r="C8" s="31" t="s">
        <v>41</v>
      </c>
      <c r="D8" t="s">
        <v>10</v>
      </c>
      <c r="E8" s="2">
        <v>51</v>
      </c>
      <c r="F8" t="s">
        <v>18</v>
      </c>
      <c r="G8" s="34">
        <v>320</v>
      </c>
      <c r="H8" s="35">
        <v>82</v>
      </c>
      <c r="I8" s="36">
        <v>26240</v>
      </c>
      <c r="J8" t="s">
        <v>12</v>
      </c>
      <c r="K8" t="s">
        <v>25</v>
      </c>
    </row>
    <row r="9" spans="1:11" x14ac:dyDescent="0.25">
      <c r="A9" s="1">
        <v>10453</v>
      </c>
      <c r="B9" s="30">
        <v>45084</v>
      </c>
      <c r="C9" s="31" t="s">
        <v>42</v>
      </c>
      <c r="D9" t="s">
        <v>16</v>
      </c>
      <c r="E9" s="2">
        <v>50</v>
      </c>
      <c r="F9" t="s">
        <v>19</v>
      </c>
      <c r="G9" s="34">
        <v>250</v>
      </c>
      <c r="H9" s="35">
        <v>80</v>
      </c>
      <c r="I9" s="36">
        <v>20000</v>
      </c>
      <c r="J9" t="s">
        <v>20</v>
      </c>
      <c r="K9" t="s">
        <v>15</v>
      </c>
    </row>
    <row r="10" spans="1:11" x14ac:dyDescent="0.25">
      <c r="A10" s="1">
        <v>10477</v>
      </c>
      <c r="B10" s="30">
        <v>45089</v>
      </c>
      <c r="C10" s="31" t="s">
        <v>43</v>
      </c>
      <c r="D10" t="s">
        <v>16</v>
      </c>
      <c r="E10" s="2">
        <v>59</v>
      </c>
      <c r="F10" t="s">
        <v>11</v>
      </c>
      <c r="G10" s="34">
        <v>150</v>
      </c>
      <c r="H10" s="35">
        <v>80</v>
      </c>
      <c r="I10" s="36">
        <v>12000</v>
      </c>
      <c r="J10" t="s">
        <v>12</v>
      </c>
      <c r="K10" t="s">
        <v>15</v>
      </c>
    </row>
    <row r="11" spans="1:11" x14ac:dyDescent="0.25">
      <c r="A11" s="1">
        <v>10486</v>
      </c>
      <c r="B11" s="30">
        <v>45091</v>
      </c>
      <c r="C11" s="31" t="s">
        <v>44</v>
      </c>
      <c r="D11" t="s">
        <v>16</v>
      </c>
      <c r="E11" s="2">
        <v>48</v>
      </c>
      <c r="F11" t="s">
        <v>21</v>
      </c>
      <c r="G11" s="34">
        <v>150</v>
      </c>
      <c r="H11" s="35">
        <v>80</v>
      </c>
      <c r="I11" s="36">
        <v>12000</v>
      </c>
      <c r="J11" t="s">
        <v>12</v>
      </c>
      <c r="K11" t="s">
        <v>25</v>
      </c>
    </row>
    <row r="12" spans="1:11" x14ac:dyDescent="0.25">
      <c r="A12" s="1">
        <v>10490</v>
      </c>
      <c r="B12" s="30">
        <v>45092</v>
      </c>
      <c r="C12" s="31" t="s">
        <v>45</v>
      </c>
      <c r="D12" t="s">
        <v>16</v>
      </c>
      <c r="E12" s="2">
        <v>45</v>
      </c>
      <c r="F12" t="s">
        <v>18</v>
      </c>
      <c r="G12" s="34">
        <v>150</v>
      </c>
      <c r="H12" s="35">
        <v>80</v>
      </c>
      <c r="I12" s="36">
        <v>12000</v>
      </c>
      <c r="J12" t="s">
        <v>12</v>
      </c>
      <c r="K12" t="s">
        <v>15</v>
      </c>
    </row>
    <row r="13" spans="1:11" x14ac:dyDescent="0.25">
      <c r="A13" s="1">
        <v>10502</v>
      </c>
      <c r="B13" s="30">
        <v>45094</v>
      </c>
      <c r="C13" s="31" t="s">
        <v>46</v>
      </c>
      <c r="D13" t="s">
        <v>16</v>
      </c>
      <c r="E13" s="2">
        <v>56</v>
      </c>
      <c r="F13" t="s">
        <v>19</v>
      </c>
      <c r="G13" s="34">
        <v>320</v>
      </c>
      <c r="H13" s="35">
        <v>80</v>
      </c>
      <c r="I13" s="36">
        <v>25600</v>
      </c>
      <c r="J13" t="s">
        <v>12</v>
      </c>
      <c r="K13" t="s">
        <v>15</v>
      </c>
    </row>
    <row r="14" spans="1:11" x14ac:dyDescent="0.25">
      <c r="A14" s="1">
        <v>10523</v>
      </c>
      <c r="B14" s="30">
        <v>45098</v>
      </c>
      <c r="C14" s="31" t="s">
        <v>47</v>
      </c>
      <c r="D14" t="s">
        <v>10</v>
      </c>
      <c r="E14" s="2">
        <v>47</v>
      </c>
      <c r="F14" t="s">
        <v>18</v>
      </c>
      <c r="G14" s="34">
        <v>400</v>
      </c>
      <c r="H14" s="35">
        <v>80</v>
      </c>
      <c r="I14" s="36">
        <v>32000</v>
      </c>
      <c r="J14" t="s">
        <v>14</v>
      </c>
      <c r="K14" t="s">
        <v>24</v>
      </c>
    </row>
    <row r="15" spans="1:11" x14ac:dyDescent="0.25">
      <c r="A15" s="1">
        <v>10525</v>
      </c>
      <c r="B15" s="30">
        <v>45099</v>
      </c>
      <c r="C15" s="31" t="s">
        <v>48</v>
      </c>
      <c r="D15" t="s">
        <v>10</v>
      </c>
      <c r="E15" s="2">
        <v>60</v>
      </c>
      <c r="F15" t="s">
        <v>19</v>
      </c>
      <c r="G15" s="34">
        <v>320</v>
      </c>
      <c r="H15" s="35">
        <v>79.8</v>
      </c>
      <c r="I15" s="36">
        <v>25536</v>
      </c>
      <c r="J15" t="s">
        <v>14</v>
      </c>
      <c r="K15" t="s">
        <v>24</v>
      </c>
    </row>
    <row r="16" spans="1:11" x14ac:dyDescent="0.25">
      <c r="A16" s="1">
        <v>10535</v>
      </c>
      <c r="B16" s="30">
        <v>45101</v>
      </c>
      <c r="C16" s="31" t="s">
        <v>49</v>
      </c>
      <c r="D16" t="s">
        <v>10</v>
      </c>
      <c r="E16" s="2">
        <v>44</v>
      </c>
      <c r="F16" t="s">
        <v>13</v>
      </c>
      <c r="G16" s="34">
        <v>400</v>
      </c>
      <c r="H16" s="35">
        <v>79.599999999999994</v>
      </c>
      <c r="I16" s="36">
        <v>31839.999999999996</v>
      </c>
      <c r="J16" t="s">
        <v>12</v>
      </c>
      <c r="K16" t="s">
        <v>15</v>
      </c>
    </row>
    <row r="17" spans="1:11" x14ac:dyDescent="0.25">
      <c r="A17" s="1">
        <v>10461</v>
      </c>
      <c r="B17" s="30">
        <v>45086</v>
      </c>
      <c r="C17" s="31" t="s">
        <v>50</v>
      </c>
      <c r="D17" t="s">
        <v>16</v>
      </c>
      <c r="E17" s="2">
        <v>57</v>
      </c>
      <c r="F17" t="s">
        <v>18</v>
      </c>
      <c r="G17" s="34">
        <v>400</v>
      </c>
      <c r="H17" s="35">
        <v>76.000000000000014</v>
      </c>
      <c r="I17" s="36">
        <v>30400.000000000007</v>
      </c>
      <c r="J17" t="s">
        <v>12</v>
      </c>
      <c r="K17" t="s">
        <v>24</v>
      </c>
    </row>
    <row r="18" spans="1:11" x14ac:dyDescent="0.25">
      <c r="A18" s="1">
        <v>10506</v>
      </c>
      <c r="B18" s="30">
        <v>45095</v>
      </c>
      <c r="C18" s="31" t="s">
        <v>51</v>
      </c>
      <c r="D18" t="s">
        <v>10</v>
      </c>
      <c r="E18" s="2">
        <v>56</v>
      </c>
      <c r="F18" t="s">
        <v>11</v>
      </c>
      <c r="G18" s="34">
        <v>150</v>
      </c>
      <c r="H18" s="35">
        <v>76.000000000000014</v>
      </c>
      <c r="I18" s="36">
        <v>11400.000000000002</v>
      </c>
      <c r="J18" t="s">
        <v>12</v>
      </c>
      <c r="K18" t="s">
        <v>15</v>
      </c>
    </row>
    <row r="19" spans="1:11" x14ac:dyDescent="0.25">
      <c r="A19" s="1">
        <v>10531</v>
      </c>
      <c r="B19" s="30">
        <v>45100</v>
      </c>
      <c r="C19" s="31" t="s">
        <v>52</v>
      </c>
      <c r="D19" t="s">
        <v>10</v>
      </c>
      <c r="E19" s="2">
        <v>53</v>
      </c>
      <c r="F19" t="s">
        <v>13</v>
      </c>
      <c r="G19" s="34">
        <v>400</v>
      </c>
      <c r="H19" s="35">
        <v>76.000000000000014</v>
      </c>
      <c r="I19" s="36">
        <v>30400.000000000007</v>
      </c>
      <c r="J19" t="s">
        <v>14</v>
      </c>
      <c r="K19" t="s">
        <v>24</v>
      </c>
    </row>
    <row r="20" spans="1:11" x14ac:dyDescent="0.25">
      <c r="A20" s="1">
        <v>10536</v>
      </c>
      <c r="B20" s="30">
        <v>45101</v>
      </c>
      <c r="C20" s="31" t="s">
        <v>53</v>
      </c>
      <c r="D20" t="s">
        <v>10</v>
      </c>
      <c r="E20" s="2">
        <v>45</v>
      </c>
      <c r="F20" t="s">
        <v>11</v>
      </c>
      <c r="G20" s="34">
        <v>150</v>
      </c>
      <c r="H20" s="35">
        <v>76.000000000000014</v>
      </c>
      <c r="I20" s="36">
        <v>11400.000000000002</v>
      </c>
      <c r="J20" t="s">
        <v>12</v>
      </c>
      <c r="K20" t="s">
        <v>15</v>
      </c>
    </row>
    <row r="21" spans="1:11" x14ac:dyDescent="0.25">
      <c r="A21" s="1">
        <v>10541</v>
      </c>
      <c r="B21" s="30">
        <v>45102</v>
      </c>
      <c r="C21" s="31" t="s">
        <v>54</v>
      </c>
      <c r="D21" t="s">
        <v>10</v>
      </c>
      <c r="E21" s="2">
        <v>68</v>
      </c>
      <c r="F21" t="s">
        <v>13</v>
      </c>
      <c r="G21" s="34">
        <v>320</v>
      </c>
      <c r="H21" s="35">
        <v>76.000000000000014</v>
      </c>
      <c r="I21" s="36">
        <v>24320.000000000004</v>
      </c>
      <c r="J21" t="s">
        <v>12</v>
      </c>
      <c r="K21" t="s">
        <v>26</v>
      </c>
    </row>
    <row r="22" spans="1:11" x14ac:dyDescent="0.25">
      <c r="A22" s="1">
        <v>10546</v>
      </c>
      <c r="B22" s="30">
        <v>45103</v>
      </c>
      <c r="C22" s="31" t="s">
        <v>55</v>
      </c>
      <c r="D22" t="s">
        <v>16</v>
      </c>
      <c r="E22" s="2">
        <v>54</v>
      </c>
      <c r="F22" t="s">
        <v>18</v>
      </c>
      <c r="G22" s="34">
        <v>320</v>
      </c>
      <c r="H22" s="35">
        <v>76.000000000000014</v>
      </c>
      <c r="I22" s="36">
        <v>24320.000000000004</v>
      </c>
      <c r="J22" t="s">
        <v>12</v>
      </c>
      <c r="K22" t="s">
        <v>26</v>
      </c>
    </row>
    <row r="23" spans="1:11" x14ac:dyDescent="0.25">
      <c r="A23" s="1">
        <v>10501</v>
      </c>
      <c r="B23" s="30">
        <v>45094</v>
      </c>
      <c r="C23" s="31" t="s">
        <v>56</v>
      </c>
      <c r="D23" t="s">
        <v>16</v>
      </c>
      <c r="E23" s="2">
        <v>40</v>
      </c>
      <c r="F23" t="s">
        <v>19</v>
      </c>
      <c r="G23" s="34">
        <v>320</v>
      </c>
      <c r="H23" s="35">
        <v>76</v>
      </c>
      <c r="I23" s="36">
        <v>24320</v>
      </c>
      <c r="J23" t="s">
        <v>12</v>
      </c>
      <c r="K23" t="s">
        <v>15</v>
      </c>
    </row>
    <row r="24" spans="1:11" x14ac:dyDescent="0.25">
      <c r="A24" s="1">
        <v>10456</v>
      </c>
      <c r="B24" s="30">
        <v>45085</v>
      </c>
      <c r="C24" s="31" t="s">
        <v>57</v>
      </c>
      <c r="D24" t="s">
        <v>16</v>
      </c>
      <c r="E24" s="2">
        <v>49</v>
      </c>
      <c r="F24" t="s">
        <v>21</v>
      </c>
      <c r="G24" s="34">
        <v>320</v>
      </c>
      <c r="H24" s="35">
        <v>75</v>
      </c>
      <c r="I24" s="36">
        <v>24000</v>
      </c>
      <c r="J24" t="s">
        <v>12</v>
      </c>
      <c r="K24" t="s">
        <v>22</v>
      </c>
    </row>
    <row r="25" spans="1:11" x14ac:dyDescent="0.25">
      <c r="A25" s="1">
        <v>10457</v>
      </c>
      <c r="B25" s="30">
        <v>45085</v>
      </c>
      <c r="C25" s="31" t="s">
        <v>58</v>
      </c>
      <c r="D25" t="s">
        <v>16</v>
      </c>
      <c r="E25" s="2">
        <v>49</v>
      </c>
      <c r="F25" t="s">
        <v>21</v>
      </c>
      <c r="G25" s="34">
        <v>400</v>
      </c>
      <c r="H25" s="35">
        <v>75</v>
      </c>
      <c r="I25" s="36">
        <v>30000</v>
      </c>
      <c r="J25" t="s">
        <v>12</v>
      </c>
      <c r="K25" t="s">
        <v>24</v>
      </c>
    </row>
    <row r="26" spans="1:11" x14ac:dyDescent="0.25">
      <c r="A26" s="1">
        <v>10463</v>
      </c>
      <c r="B26" s="30">
        <v>45086</v>
      </c>
      <c r="C26" s="31" t="s">
        <v>59</v>
      </c>
      <c r="D26" t="s">
        <v>10</v>
      </c>
      <c r="E26" s="2">
        <v>48</v>
      </c>
      <c r="F26" t="s">
        <v>18</v>
      </c>
      <c r="G26" s="34">
        <v>150</v>
      </c>
      <c r="H26" s="35">
        <v>75</v>
      </c>
      <c r="I26" s="36">
        <v>11250</v>
      </c>
      <c r="J26" t="s">
        <v>12</v>
      </c>
      <c r="K26" t="s">
        <v>24</v>
      </c>
    </row>
    <row r="27" spans="1:11" x14ac:dyDescent="0.25">
      <c r="A27" s="1">
        <v>10468</v>
      </c>
      <c r="B27" s="30">
        <v>45087</v>
      </c>
      <c r="C27" s="31" t="s">
        <v>60</v>
      </c>
      <c r="D27" t="s">
        <v>10</v>
      </c>
      <c r="E27" s="2">
        <v>67</v>
      </c>
      <c r="F27" t="s">
        <v>11</v>
      </c>
      <c r="G27" s="34">
        <v>150</v>
      </c>
      <c r="H27" s="35">
        <v>75</v>
      </c>
      <c r="I27" s="36">
        <v>11250</v>
      </c>
      <c r="J27" t="s">
        <v>12</v>
      </c>
      <c r="K27" t="s">
        <v>15</v>
      </c>
    </row>
    <row r="28" spans="1:11" x14ac:dyDescent="0.25">
      <c r="A28" s="1">
        <v>10470</v>
      </c>
      <c r="B28" s="30">
        <v>45088</v>
      </c>
      <c r="C28" s="31" t="s">
        <v>61</v>
      </c>
      <c r="D28" t="s">
        <v>16</v>
      </c>
      <c r="E28" s="2">
        <v>59</v>
      </c>
      <c r="F28" t="s">
        <v>11</v>
      </c>
      <c r="G28" s="34">
        <v>250</v>
      </c>
      <c r="H28" s="35">
        <v>75</v>
      </c>
      <c r="I28" s="36">
        <v>18750</v>
      </c>
      <c r="J28" t="s">
        <v>12</v>
      </c>
      <c r="K28" t="s">
        <v>15</v>
      </c>
    </row>
    <row r="29" spans="1:11" x14ac:dyDescent="0.25">
      <c r="A29" s="1">
        <v>10473</v>
      </c>
      <c r="B29" s="30">
        <v>45088</v>
      </c>
      <c r="C29" s="31" t="s">
        <v>62</v>
      </c>
      <c r="D29" t="s">
        <v>16</v>
      </c>
      <c r="E29" s="2">
        <v>63</v>
      </c>
      <c r="F29" t="s">
        <v>21</v>
      </c>
      <c r="G29" s="34">
        <v>250</v>
      </c>
      <c r="H29" s="35">
        <v>75</v>
      </c>
      <c r="I29" s="36">
        <v>18750</v>
      </c>
      <c r="J29" t="s">
        <v>12</v>
      </c>
      <c r="K29" t="s">
        <v>15</v>
      </c>
    </row>
    <row r="30" spans="1:11" x14ac:dyDescent="0.25">
      <c r="A30" s="1">
        <v>10478</v>
      </c>
      <c r="B30" s="30">
        <v>45089</v>
      </c>
      <c r="C30" s="31" t="s">
        <v>63</v>
      </c>
      <c r="D30" t="s">
        <v>16</v>
      </c>
      <c r="E30" s="2">
        <v>62</v>
      </c>
      <c r="F30" t="s">
        <v>18</v>
      </c>
      <c r="G30" s="34">
        <v>250</v>
      </c>
      <c r="H30" s="35">
        <v>75</v>
      </c>
      <c r="I30" s="36">
        <v>18750</v>
      </c>
      <c r="J30" t="s">
        <v>12</v>
      </c>
      <c r="K30" t="s">
        <v>15</v>
      </c>
    </row>
    <row r="31" spans="1:11" x14ac:dyDescent="0.25">
      <c r="A31" s="1">
        <v>10481</v>
      </c>
      <c r="B31" s="30">
        <v>45090</v>
      </c>
      <c r="C31" s="31" t="s">
        <v>64</v>
      </c>
      <c r="D31" t="s">
        <v>16</v>
      </c>
      <c r="E31" s="2">
        <v>67</v>
      </c>
      <c r="F31" t="s">
        <v>19</v>
      </c>
      <c r="G31" s="34">
        <v>250</v>
      </c>
      <c r="H31" s="35">
        <v>75</v>
      </c>
      <c r="I31" s="36">
        <v>18750</v>
      </c>
      <c r="J31" t="s">
        <v>12</v>
      </c>
      <c r="K31" t="s">
        <v>15</v>
      </c>
    </row>
    <row r="32" spans="1:11" x14ac:dyDescent="0.25">
      <c r="A32" s="1">
        <v>10481</v>
      </c>
      <c r="B32" s="30">
        <v>45090</v>
      </c>
      <c r="C32" s="31" t="s">
        <v>64</v>
      </c>
      <c r="D32" t="s">
        <v>16</v>
      </c>
      <c r="E32" s="2">
        <v>67</v>
      </c>
      <c r="F32" t="s">
        <v>19</v>
      </c>
      <c r="G32" s="34">
        <v>400</v>
      </c>
      <c r="H32" s="35">
        <v>75</v>
      </c>
      <c r="I32" s="36">
        <v>30000</v>
      </c>
      <c r="J32" t="s">
        <v>12</v>
      </c>
      <c r="K32" t="s">
        <v>15</v>
      </c>
    </row>
    <row r="33" spans="1:11" x14ac:dyDescent="0.25">
      <c r="A33" s="1">
        <v>10510</v>
      </c>
      <c r="B33" s="30">
        <v>45096</v>
      </c>
      <c r="C33" s="31" t="s">
        <v>65</v>
      </c>
      <c r="D33" t="s">
        <v>10</v>
      </c>
      <c r="E33" s="2">
        <v>60</v>
      </c>
      <c r="F33" t="s">
        <v>23</v>
      </c>
      <c r="G33" s="34">
        <v>150</v>
      </c>
      <c r="H33" s="35">
        <v>75</v>
      </c>
      <c r="I33" s="36">
        <v>11250</v>
      </c>
      <c r="J33" t="s">
        <v>12</v>
      </c>
      <c r="K33" t="s">
        <v>15</v>
      </c>
    </row>
    <row r="34" spans="1:11" x14ac:dyDescent="0.25">
      <c r="A34" s="1">
        <v>10529</v>
      </c>
      <c r="B34" s="30">
        <v>45099</v>
      </c>
      <c r="C34" s="31" t="s">
        <v>66</v>
      </c>
      <c r="D34" t="s">
        <v>10</v>
      </c>
      <c r="E34" s="2">
        <v>62</v>
      </c>
      <c r="F34" t="s">
        <v>13</v>
      </c>
      <c r="G34" s="34">
        <v>320</v>
      </c>
      <c r="H34" s="35">
        <v>73.98</v>
      </c>
      <c r="I34" s="36">
        <v>23673.600000000002</v>
      </c>
      <c r="J34" t="s">
        <v>14</v>
      </c>
      <c r="K34" t="s">
        <v>24</v>
      </c>
    </row>
    <row r="35" spans="1:11" x14ac:dyDescent="0.25">
      <c r="A35" s="1">
        <v>10476</v>
      </c>
      <c r="B35" s="30">
        <v>45089</v>
      </c>
      <c r="C35" s="31" t="s">
        <v>67</v>
      </c>
      <c r="D35" t="s">
        <v>16</v>
      </c>
      <c r="E35" s="2">
        <v>52</v>
      </c>
      <c r="F35" t="s">
        <v>11</v>
      </c>
      <c r="G35" s="34">
        <v>250</v>
      </c>
      <c r="H35" s="35">
        <v>70</v>
      </c>
      <c r="I35" s="36">
        <v>17500</v>
      </c>
      <c r="J35" t="s">
        <v>12</v>
      </c>
      <c r="K35" t="s">
        <v>15</v>
      </c>
    </row>
    <row r="36" spans="1:11" x14ac:dyDescent="0.25">
      <c r="A36" s="1">
        <v>10487</v>
      </c>
      <c r="B36" s="30">
        <v>45091</v>
      </c>
      <c r="C36" s="31" t="s">
        <v>68</v>
      </c>
      <c r="D36" t="s">
        <v>16</v>
      </c>
      <c r="E36" s="2">
        <v>41</v>
      </c>
      <c r="F36" t="s">
        <v>21</v>
      </c>
      <c r="G36" s="34">
        <v>320</v>
      </c>
      <c r="H36" s="35">
        <v>70</v>
      </c>
      <c r="I36" s="36">
        <v>22400</v>
      </c>
      <c r="J36" t="s">
        <v>12</v>
      </c>
      <c r="K36" t="s">
        <v>25</v>
      </c>
    </row>
    <row r="37" spans="1:11" x14ac:dyDescent="0.25">
      <c r="A37" s="1">
        <v>10509</v>
      </c>
      <c r="B37" s="30">
        <v>45095</v>
      </c>
      <c r="C37" s="31" t="s">
        <v>69</v>
      </c>
      <c r="D37" t="s">
        <v>10</v>
      </c>
      <c r="E37" s="2">
        <v>51</v>
      </c>
      <c r="F37" t="s">
        <v>11</v>
      </c>
      <c r="G37" s="34">
        <v>320</v>
      </c>
      <c r="H37" s="35">
        <v>70</v>
      </c>
      <c r="I37" s="36">
        <v>22400</v>
      </c>
      <c r="J37" t="s">
        <v>12</v>
      </c>
      <c r="K37" t="s">
        <v>15</v>
      </c>
    </row>
    <row r="38" spans="1:11" x14ac:dyDescent="0.25">
      <c r="A38" s="1">
        <v>10500</v>
      </c>
      <c r="B38" s="30">
        <v>45094</v>
      </c>
      <c r="C38" s="31" t="s">
        <v>70</v>
      </c>
      <c r="D38" t="s">
        <v>16</v>
      </c>
      <c r="E38" s="2">
        <v>54</v>
      </c>
      <c r="F38" t="s">
        <v>19</v>
      </c>
      <c r="G38" s="34">
        <v>400</v>
      </c>
      <c r="H38" s="35">
        <v>67</v>
      </c>
      <c r="I38" s="36">
        <v>26800</v>
      </c>
      <c r="J38" t="s">
        <v>12</v>
      </c>
      <c r="K38" t="s">
        <v>15</v>
      </c>
    </row>
    <row r="39" spans="1:11" x14ac:dyDescent="0.25">
      <c r="A39" s="1">
        <v>10515</v>
      </c>
      <c r="B39" s="30">
        <v>45097</v>
      </c>
      <c r="C39" s="31" t="s">
        <v>71</v>
      </c>
      <c r="D39" t="s">
        <v>10</v>
      </c>
      <c r="E39" s="2">
        <v>58</v>
      </c>
      <c r="F39" t="s">
        <v>23</v>
      </c>
      <c r="G39" s="34">
        <v>150</v>
      </c>
      <c r="H39" s="35">
        <v>63</v>
      </c>
      <c r="I39" s="36">
        <v>9450</v>
      </c>
      <c r="J39" t="s">
        <v>14</v>
      </c>
      <c r="K39" t="s">
        <v>25</v>
      </c>
    </row>
    <row r="40" spans="1:11" x14ac:dyDescent="0.25">
      <c r="A40" s="1">
        <v>10516</v>
      </c>
      <c r="B40" s="30">
        <v>45097</v>
      </c>
      <c r="C40" s="31" t="s">
        <v>72</v>
      </c>
      <c r="D40" t="s">
        <v>10</v>
      </c>
      <c r="E40" s="2">
        <v>55</v>
      </c>
      <c r="F40" t="s">
        <v>23</v>
      </c>
      <c r="G40" s="34">
        <v>320</v>
      </c>
      <c r="H40" s="35">
        <v>63</v>
      </c>
      <c r="I40" s="36">
        <v>20160</v>
      </c>
      <c r="J40" t="s">
        <v>14</v>
      </c>
      <c r="K40" t="s">
        <v>25</v>
      </c>
    </row>
    <row r="41" spans="1:11" x14ac:dyDescent="0.25">
      <c r="A41" s="1">
        <v>10483</v>
      </c>
      <c r="B41" s="30">
        <v>45090</v>
      </c>
      <c r="C41" s="31" t="s">
        <v>73</v>
      </c>
      <c r="D41" t="s">
        <v>10</v>
      </c>
      <c r="E41" s="2">
        <v>52</v>
      </c>
      <c r="F41" t="s">
        <v>23</v>
      </c>
      <c r="G41" s="34">
        <v>150</v>
      </c>
      <c r="H41" s="35">
        <v>63</v>
      </c>
      <c r="I41" s="36">
        <v>9450</v>
      </c>
      <c r="J41" t="s">
        <v>12</v>
      </c>
      <c r="K41" t="s">
        <v>25</v>
      </c>
    </row>
    <row r="42" spans="1:11" x14ac:dyDescent="0.25">
      <c r="A42" s="1">
        <v>10468</v>
      </c>
      <c r="B42" s="30">
        <v>45087</v>
      </c>
      <c r="C42" s="31" t="s">
        <v>74</v>
      </c>
      <c r="D42" t="s">
        <v>16</v>
      </c>
      <c r="E42" s="2">
        <v>53</v>
      </c>
      <c r="F42" t="s">
        <v>11</v>
      </c>
      <c r="G42" s="34">
        <v>400</v>
      </c>
      <c r="H42" s="35">
        <v>60</v>
      </c>
      <c r="I42" s="36">
        <v>24000</v>
      </c>
      <c r="J42" t="s">
        <v>12</v>
      </c>
      <c r="K42" t="s">
        <v>15</v>
      </c>
    </row>
    <row r="43" spans="1:11" x14ac:dyDescent="0.25">
      <c r="A43" s="1">
        <v>10475</v>
      </c>
      <c r="B43" s="30">
        <v>45089</v>
      </c>
      <c r="C43" s="31" t="s">
        <v>75</v>
      </c>
      <c r="D43" t="s">
        <v>16</v>
      </c>
      <c r="E43" s="2">
        <v>46</v>
      </c>
      <c r="F43" t="s">
        <v>11</v>
      </c>
      <c r="G43" s="34">
        <v>320</v>
      </c>
      <c r="H43" s="35">
        <v>60</v>
      </c>
      <c r="I43" s="36">
        <v>19200</v>
      </c>
      <c r="J43" t="s">
        <v>12</v>
      </c>
      <c r="K43" t="s">
        <v>15</v>
      </c>
    </row>
    <row r="44" spans="1:11" x14ac:dyDescent="0.25">
      <c r="A44" s="1">
        <v>10480</v>
      </c>
      <c r="B44" s="30">
        <v>45090</v>
      </c>
      <c r="C44" s="31" t="s">
        <v>76</v>
      </c>
      <c r="D44" t="s">
        <v>16</v>
      </c>
      <c r="E44" s="2">
        <v>52</v>
      </c>
      <c r="F44" t="s">
        <v>19</v>
      </c>
      <c r="G44" s="34">
        <v>250</v>
      </c>
      <c r="H44" s="35">
        <v>60</v>
      </c>
      <c r="I44" s="36">
        <v>15000</v>
      </c>
      <c r="J44" t="s">
        <v>12</v>
      </c>
      <c r="K44" t="s">
        <v>15</v>
      </c>
    </row>
    <row r="45" spans="1:11" x14ac:dyDescent="0.25">
      <c r="A45" s="1">
        <v>10495</v>
      </c>
      <c r="B45" s="30">
        <v>45093</v>
      </c>
      <c r="C45" s="31" t="s">
        <v>77</v>
      </c>
      <c r="D45" t="s">
        <v>16</v>
      </c>
      <c r="E45" s="2">
        <v>61</v>
      </c>
      <c r="F45" t="s">
        <v>21</v>
      </c>
      <c r="G45" s="34">
        <v>150</v>
      </c>
      <c r="H45" s="35">
        <v>60</v>
      </c>
      <c r="I45" s="36">
        <v>9000</v>
      </c>
      <c r="J45" t="s">
        <v>12</v>
      </c>
      <c r="K45" t="s">
        <v>15</v>
      </c>
    </row>
    <row r="46" spans="1:11" x14ac:dyDescent="0.25">
      <c r="A46" s="1">
        <v>10484</v>
      </c>
      <c r="B46" s="30">
        <v>45090</v>
      </c>
      <c r="C46" s="31" t="s">
        <v>78</v>
      </c>
      <c r="D46" t="s">
        <v>10</v>
      </c>
      <c r="E46" s="2">
        <v>44</v>
      </c>
      <c r="F46" t="s">
        <v>23</v>
      </c>
      <c r="G46" s="34">
        <v>150</v>
      </c>
      <c r="H46" s="35">
        <v>60</v>
      </c>
      <c r="I46" s="36">
        <v>9000</v>
      </c>
      <c r="J46" t="s">
        <v>12</v>
      </c>
      <c r="K46" t="s">
        <v>25</v>
      </c>
    </row>
    <row r="47" spans="1:11" x14ac:dyDescent="0.25">
      <c r="A47" s="1">
        <v>10543</v>
      </c>
      <c r="B47" s="30">
        <v>45102</v>
      </c>
      <c r="C47" s="31" t="s">
        <v>79</v>
      </c>
      <c r="D47" t="s">
        <v>10</v>
      </c>
      <c r="E47" s="2">
        <v>55</v>
      </c>
      <c r="F47" t="s">
        <v>17</v>
      </c>
      <c r="G47" s="34">
        <v>400</v>
      </c>
      <c r="H47" s="35">
        <v>59.8</v>
      </c>
      <c r="I47" s="36">
        <v>23920</v>
      </c>
      <c r="J47" t="s">
        <v>12</v>
      </c>
      <c r="K47" t="s">
        <v>26</v>
      </c>
    </row>
    <row r="48" spans="1:11" x14ac:dyDescent="0.25">
      <c r="A48" s="1">
        <v>10466</v>
      </c>
      <c r="B48" s="30">
        <v>45087</v>
      </c>
      <c r="C48" s="31" t="s">
        <v>80</v>
      </c>
      <c r="D48" t="s">
        <v>16</v>
      </c>
      <c r="E48" s="2">
        <v>37</v>
      </c>
      <c r="F48" t="s">
        <v>11</v>
      </c>
      <c r="G48" s="34">
        <v>250</v>
      </c>
      <c r="H48" s="35">
        <v>50</v>
      </c>
      <c r="I48" s="36">
        <v>12500</v>
      </c>
      <c r="J48" t="s">
        <v>12</v>
      </c>
      <c r="K48" t="s">
        <v>15</v>
      </c>
    </row>
    <row r="49" spans="1:11" x14ac:dyDescent="0.25">
      <c r="A49" s="1">
        <v>10467</v>
      </c>
      <c r="B49" s="30">
        <v>45087</v>
      </c>
      <c r="C49" s="31" t="s">
        <v>81</v>
      </c>
      <c r="D49" t="s">
        <v>16</v>
      </c>
      <c r="E49" s="2">
        <v>39</v>
      </c>
      <c r="F49" t="s">
        <v>11</v>
      </c>
      <c r="G49" s="34">
        <v>400</v>
      </c>
      <c r="H49" s="35">
        <v>50</v>
      </c>
      <c r="I49" s="36">
        <v>20000</v>
      </c>
      <c r="J49" t="s">
        <v>12</v>
      </c>
      <c r="K49" t="s">
        <v>15</v>
      </c>
    </row>
    <row r="50" spans="1:11" x14ac:dyDescent="0.25">
      <c r="A50" s="1">
        <v>10532</v>
      </c>
      <c r="B50" s="30">
        <v>45100</v>
      </c>
      <c r="C50" s="31" t="s">
        <v>82</v>
      </c>
      <c r="D50" t="s">
        <v>10</v>
      </c>
      <c r="E50" s="2">
        <v>28</v>
      </c>
      <c r="F50" t="s">
        <v>13</v>
      </c>
      <c r="G50" s="34">
        <v>400</v>
      </c>
      <c r="H50" s="35">
        <v>45.6</v>
      </c>
      <c r="I50" s="36">
        <v>18240</v>
      </c>
      <c r="J50" t="s">
        <v>14</v>
      </c>
      <c r="K50" t="s">
        <v>25</v>
      </c>
    </row>
    <row r="51" spans="1:11" x14ac:dyDescent="0.25">
      <c r="A51" s="1">
        <v>10533</v>
      </c>
      <c r="B51" s="30">
        <v>45100</v>
      </c>
      <c r="C51" s="31" t="s">
        <v>83</v>
      </c>
      <c r="D51" t="s">
        <v>10</v>
      </c>
      <c r="E51" s="2">
        <v>37</v>
      </c>
      <c r="F51" t="s">
        <v>13</v>
      </c>
      <c r="G51" s="34">
        <v>400</v>
      </c>
      <c r="H51" s="35">
        <v>45.6</v>
      </c>
      <c r="I51" s="36">
        <v>18240</v>
      </c>
      <c r="J51" t="s">
        <v>14</v>
      </c>
      <c r="K51" t="s">
        <v>25</v>
      </c>
    </row>
    <row r="52" spans="1:11" x14ac:dyDescent="0.25">
      <c r="A52" s="1">
        <v>10527</v>
      </c>
      <c r="B52" s="30">
        <v>45099</v>
      </c>
      <c r="C52" s="31" t="s">
        <v>84</v>
      </c>
      <c r="D52" t="s">
        <v>10</v>
      </c>
      <c r="E52" s="2">
        <v>33</v>
      </c>
      <c r="F52" t="s">
        <v>13</v>
      </c>
      <c r="G52" s="34">
        <v>400</v>
      </c>
      <c r="H52" s="35">
        <v>45</v>
      </c>
      <c r="I52" s="36">
        <v>18000</v>
      </c>
      <c r="J52" t="s">
        <v>14</v>
      </c>
      <c r="K52" t="s">
        <v>24</v>
      </c>
    </row>
    <row r="53" spans="1:11" x14ac:dyDescent="0.25">
      <c r="A53" s="1">
        <v>10528</v>
      </c>
      <c r="B53" s="30">
        <v>45099</v>
      </c>
      <c r="C53" s="31" t="s">
        <v>85</v>
      </c>
      <c r="D53" t="s">
        <v>10</v>
      </c>
      <c r="E53" s="2">
        <v>49</v>
      </c>
      <c r="F53" t="s">
        <v>13</v>
      </c>
      <c r="G53" s="34">
        <v>150</v>
      </c>
      <c r="H53" s="35">
        <v>45</v>
      </c>
      <c r="I53" s="36">
        <v>6750</v>
      </c>
      <c r="J53" t="s">
        <v>14</v>
      </c>
      <c r="K53" t="s">
        <v>24</v>
      </c>
    </row>
    <row r="54" spans="1:11" x14ac:dyDescent="0.25">
      <c r="A54" s="1">
        <v>10496</v>
      </c>
      <c r="B54" s="30">
        <v>45093</v>
      </c>
      <c r="C54" s="31" t="s">
        <v>86</v>
      </c>
      <c r="D54" t="s">
        <v>16</v>
      </c>
      <c r="E54" s="2">
        <v>25</v>
      </c>
      <c r="F54" t="s">
        <v>21</v>
      </c>
      <c r="G54" s="34">
        <v>150</v>
      </c>
      <c r="H54" s="35">
        <v>44</v>
      </c>
      <c r="I54" s="36">
        <v>6600</v>
      </c>
      <c r="J54" t="s">
        <v>12</v>
      </c>
      <c r="K54" t="s">
        <v>15</v>
      </c>
    </row>
    <row r="55" spans="1:11" x14ac:dyDescent="0.25">
      <c r="A55" s="1">
        <v>10498</v>
      </c>
      <c r="B55" s="30">
        <v>45093</v>
      </c>
      <c r="C55" s="31" t="s">
        <v>87</v>
      </c>
      <c r="D55" t="s">
        <v>16</v>
      </c>
      <c r="E55" s="2">
        <v>36</v>
      </c>
      <c r="F55" t="s">
        <v>21</v>
      </c>
      <c r="G55" s="34">
        <v>150</v>
      </c>
      <c r="H55" s="35">
        <v>44</v>
      </c>
      <c r="I55" s="36">
        <v>6600</v>
      </c>
      <c r="J55" t="s">
        <v>12</v>
      </c>
      <c r="K55" t="s">
        <v>15</v>
      </c>
    </row>
    <row r="56" spans="1:11" x14ac:dyDescent="0.25">
      <c r="A56" s="1">
        <v>10512</v>
      </c>
      <c r="B56" s="30">
        <v>45096</v>
      </c>
      <c r="C56" s="31" t="s">
        <v>88</v>
      </c>
      <c r="D56" t="s">
        <v>10</v>
      </c>
      <c r="E56" s="2">
        <v>37</v>
      </c>
      <c r="F56" t="s">
        <v>23</v>
      </c>
      <c r="G56" s="34">
        <v>320</v>
      </c>
      <c r="H56" s="35">
        <v>43</v>
      </c>
      <c r="I56" s="36">
        <v>13760</v>
      </c>
      <c r="J56" t="s">
        <v>12</v>
      </c>
      <c r="K56" t="s">
        <v>25</v>
      </c>
    </row>
    <row r="57" spans="1:11" x14ac:dyDescent="0.25">
      <c r="A57" s="1">
        <v>10513</v>
      </c>
      <c r="B57" s="30">
        <v>45096</v>
      </c>
      <c r="C57" s="31" t="s">
        <v>89</v>
      </c>
      <c r="D57" t="s">
        <v>10</v>
      </c>
      <c r="E57" s="2">
        <v>51</v>
      </c>
      <c r="F57" t="s">
        <v>23</v>
      </c>
      <c r="G57" s="34">
        <v>250</v>
      </c>
      <c r="H57" s="35">
        <v>42</v>
      </c>
      <c r="I57" s="36">
        <v>10500</v>
      </c>
      <c r="J57" t="s">
        <v>14</v>
      </c>
      <c r="K57" t="s">
        <v>25</v>
      </c>
    </row>
    <row r="58" spans="1:11" x14ac:dyDescent="0.25">
      <c r="A58" s="1">
        <v>10474</v>
      </c>
      <c r="B58" s="30">
        <v>45088</v>
      </c>
      <c r="C58" s="31" t="s">
        <v>90</v>
      </c>
      <c r="D58" t="s">
        <v>16</v>
      </c>
      <c r="E58" s="2">
        <v>21</v>
      </c>
      <c r="F58" t="s">
        <v>21</v>
      </c>
      <c r="G58" s="34">
        <v>150</v>
      </c>
      <c r="H58" s="35">
        <v>40</v>
      </c>
      <c r="I58" s="36">
        <v>6000</v>
      </c>
      <c r="J58" t="s">
        <v>12</v>
      </c>
      <c r="K58" t="s">
        <v>15</v>
      </c>
    </row>
    <row r="59" spans="1:11" x14ac:dyDescent="0.25">
      <c r="A59" s="1">
        <v>10479</v>
      </c>
      <c r="B59" s="30">
        <v>45089</v>
      </c>
      <c r="C59" s="31" t="s">
        <v>91</v>
      </c>
      <c r="D59" t="s">
        <v>16</v>
      </c>
      <c r="E59" s="2">
        <v>37</v>
      </c>
      <c r="F59" t="s">
        <v>18</v>
      </c>
      <c r="G59" s="34">
        <v>250</v>
      </c>
      <c r="H59" s="35">
        <v>40</v>
      </c>
      <c r="I59" s="36">
        <v>10000</v>
      </c>
      <c r="J59" t="s">
        <v>12</v>
      </c>
      <c r="K59" t="s">
        <v>15</v>
      </c>
    </row>
    <row r="60" spans="1:11" x14ac:dyDescent="0.25">
      <c r="A60" s="1">
        <v>10488</v>
      </c>
      <c r="B60" s="30">
        <v>45091</v>
      </c>
      <c r="C60" s="31" t="s">
        <v>92</v>
      </c>
      <c r="D60" t="s">
        <v>16</v>
      </c>
      <c r="E60" s="2">
        <v>24</v>
      </c>
      <c r="F60" t="s">
        <v>21</v>
      </c>
      <c r="G60" s="34">
        <v>150</v>
      </c>
      <c r="H60" s="35">
        <v>40</v>
      </c>
      <c r="I60" s="36">
        <v>6000</v>
      </c>
      <c r="J60" t="s">
        <v>12</v>
      </c>
      <c r="K60" t="s">
        <v>25</v>
      </c>
    </row>
    <row r="61" spans="1:11" x14ac:dyDescent="0.25">
      <c r="A61" s="1">
        <v>10526</v>
      </c>
      <c r="B61" s="30">
        <v>45099</v>
      </c>
      <c r="C61" s="31" t="s">
        <v>93</v>
      </c>
      <c r="D61" t="s">
        <v>10</v>
      </c>
      <c r="E61" s="2">
        <v>24</v>
      </c>
      <c r="F61" t="s">
        <v>13</v>
      </c>
      <c r="G61" s="34">
        <v>400</v>
      </c>
      <c r="H61" s="35">
        <v>39.799999999999997</v>
      </c>
      <c r="I61" s="36">
        <v>15919.999999999998</v>
      </c>
      <c r="J61" t="s">
        <v>14</v>
      </c>
      <c r="K61" t="s">
        <v>24</v>
      </c>
    </row>
    <row r="62" spans="1:11" x14ac:dyDescent="0.25">
      <c r="A62" s="1">
        <v>10548</v>
      </c>
      <c r="B62" s="30">
        <v>45103</v>
      </c>
      <c r="C62" s="31" t="s">
        <v>94</v>
      </c>
      <c r="D62" t="s">
        <v>16</v>
      </c>
      <c r="E62" s="2">
        <v>21</v>
      </c>
      <c r="F62" t="s">
        <v>17</v>
      </c>
      <c r="G62" s="34">
        <v>150</v>
      </c>
      <c r="H62" s="35">
        <v>39.799999999999997</v>
      </c>
      <c r="I62" s="36">
        <v>5970</v>
      </c>
      <c r="J62" t="s">
        <v>12</v>
      </c>
      <c r="K62" t="s">
        <v>26</v>
      </c>
    </row>
    <row r="63" spans="1:11" x14ac:dyDescent="0.25">
      <c r="A63" s="1">
        <v>10508</v>
      </c>
      <c r="B63" s="30">
        <v>45095</v>
      </c>
      <c r="C63" s="31" t="s">
        <v>95</v>
      </c>
      <c r="D63" t="s">
        <v>10</v>
      </c>
      <c r="E63" s="2">
        <v>39</v>
      </c>
      <c r="F63" t="s">
        <v>11</v>
      </c>
      <c r="G63" s="34">
        <v>150</v>
      </c>
      <c r="H63" s="35">
        <v>39</v>
      </c>
      <c r="I63" s="36">
        <v>5850</v>
      </c>
      <c r="J63" t="s">
        <v>12</v>
      </c>
      <c r="K63" t="s">
        <v>15</v>
      </c>
    </row>
    <row r="64" spans="1:11" x14ac:dyDescent="0.25">
      <c r="A64" s="1">
        <v>10485</v>
      </c>
      <c r="B64" s="30">
        <v>45091</v>
      </c>
      <c r="C64" s="31" t="s">
        <v>96</v>
      </c>
      <c r="D64" t="s">
        <v>16</v>
      </c>
      <c r="E64" s="2">
        <v>35</v>
      </c>
      <c r="F64" t="s">
        <v>21</v>
      </c>
      <c r="G64" s="34">
        <v>400</v>
      </c>
      <c r="H64" s="35">
        <v>38</v>
      </c>
      <c r="I64" s="36">
        <v>15200</v>
      </c>
      <c r="J64" t="s">
        <v>12</v>
      </c>
      <c r="K64" t="s">
        <v>25</v>
      </c>
    </row>
    <row r="65" spans="1:11" x14ac:dyDescent="0.25">
      <c r="A65" s="1">
        <v>10505</v>
      </c>
      <c r="B65" s="30">
        <v>45095</v>
      </c>
      <c r="C65" s="31" t="s">
        <v>97</v>
      </c>
      <c r="D65" t="s">
        <v>10</v>
      </c>
      <c r="E65" s="2">
        <v>35</v>
      </c>
      <c r="F65" t="s">
        <v>11</v>
      </c>
      <c r="G65" s="34">
        <v>250</v>
      </c>
      <c r="H65" s="35">
        <v>38</v>
      </c>
      <c r="I65" s="36">
        <v>9500</v>
      </c>
      <c r="J65" t="s">
        <v>12</v>
      </c>
      <c r="K65" t="s">
        <v>15</v>
      </c>
    </row>
    <row r="66" spans="1:11" x14ac:dyDescent="0.25">
      <c r="A66" s="1">
        <v>10524</v>
      </c>
      <c r="B66" s="30">
        <v>45098</v>
      </c>
      <c r="C66" s="31" t="s">
        <v>98</v>
      </c>
      <c r="D66" t="s">
        <v>10</v>
      </c>
      <c r="E66" s="2">
        <v>46</v>
      </c>
      <c r="F66" t="s">
        <v>18</v>
      </c>
      <c r="G66" s="34">
        <v>150</v>
      </c>
      <c r="H66" s="35">
        <v>38</v>
      </c>
      <c r="I66" s="36">
        <v>5700</v>
      </c>
      <c r="J66" t="s">
        <v>14</v>
      </c>
      <c r="K66" t="s">
        <v>24</v>
      </c>
    </row>
    <row r="67" spans="1:11" x14ac:dyDescent="0.25">
      <c r="A67" s="1">
        <v>10459</v>
      </c>
      <c r="B67" s="30">
        <v>45085</v>
      </c>
      <c r="C67" s="31" t="s">
        <v>99</v>
      </c>
      <c r="D67" t="s">
        <v>10</v>
      </c>
      <c r="E67" s="2">
        <v>31</v>
      </c>
      <c r="F67" t="s">
        <v>19</v>
      </c>
      <c r="G67" s="34">
        <v>150</v>
      </c>
      <c r="H67" s="35">
        <v>37.999999999999993</v>
      </c>
      <c r="I67" s="36">
        <v>5699.9999999999991</v>
      </c>
      <c r="J67" t="s">
        <v>12</v>
      </c>
      <c r="K67" t="s">
        <v>22</v>
      </c>
    </row>
    <row r="68" spans="1:11" x14ac:dyDescent="0.25">
      <c r="A68" s="1">
        <v>10494</v>
      </c>
      <c r="B68" s="30">
        <v>45092</v>
      </c>
      <c r="C68" s="31" t="s">
        <v>100</v>
      </c>
      <c r="D68" t="s">
        <v>16</v>
      </c>
      <c r="E68" s="2">
        <v>23</v>
      </c>
      <c r="F68" t="s">
        <v>21</v>
      </c>
      <c r="G68" s="34">
        <v>320</v>
      </c>
      <c r="H68" s="35">
        <v>37.999999999999993</v>
      </c>
      <c r="I68" s="36">
        <v>12159.999999999998</v>
      </c>
      <c r="J68" t="s">
        <v>12</v>
      </c>
      <c r="K68" t="s">
        <v>15</v>
      </c>
    </row>
    <row r="69" spans="1:11" x14ac:dyDescent="0.25">
      <c r="A69" s="1">
        <v>10504</v>
      </c>
      <c r="B69" s="30">
        <v>45094</v>
      </c>
      <c r="C69" s="31" t="s">
        <v>101</v>
      </c>
      <c r="D69" t="s">
        <v>16</v>
      </c>
      <c r="E69" s="2">
        <v>23</v>
      </c>
      <c r="F69" t="s">
        <v>11</v>
      </c>
      <c r="G69" s="34">
        <v>320</v>
      </c>
      <c r="H69" s="35">
        <v>37.999999999999993</v>
      </c>
      <c r="I69" s="36">
        <v>12159.999999999998</v>
      </c>
      <c r="J69" t="s">
        <v>12</v>
      </c>
      <c r="K69" t="s">
        <v>15</v>
      </c>
    </row>
    <row r="70" spans="1:11" x14ac:dyDescent="0.25">
      <c r="A70" s="1">
        <v>10514</v>
      </c>
      <c r="B70" s="30">
        <v>45096</v>
      </c>
      <c r="C70" s="31" t="s">
        <v>102</v>
      </c>
      <c r="D70" t="s">
        <v>10</v>
      </c>
      <c r="E70" s="2">
        <v>21</v>
      </c>
      <c r="F70" t="s">
        <v>23</v>
      </c>
      <c r="G70" s="34">
        <v>150</v>
      </c>
      <c r="H70" s="35">
        <v>37.999999999999993</v>
      </c>
      <c r="I70" s="36">
        <v>5699.9999999999991</v>
      </c>
      <c r="J70" t="s">
        <v>14</v>
      </c>
      <c r="K70" t="s">
        <v>25</v>
      </c>
    </row>
    <row r="71" spans="1:11" x14ac:dyDescent="0.25">
      <c r="A71" s="1">
        <v>10539</v>
      </c>
      <c r="B71" s="30">
        <v>45101</v>
      </c>
      <c r="C71" s="31" t="s">
        <v>103</v>
      </c>
      <c r="D71" t="s">
        <v>10</v>
      </c>
      <c r="E71" s="2">
        <v>55</v>
      </c>
      <c r="F71" t="s">
        <v>17</v>
      </c>
      <c r="G71" s="34">
        <v>320</v>
      </c>
      <c r="H71" s="35">
        <v>37.999999999999993</v>
      </c>
      <c r="I71" s="36">
        <v>12159.999999999998</v>
      </c>
      <c r="J71" t="s">
        <v>12</v>
      </c>
      <c r="K71" t="s">
        <v>15</v>
      </c>
    </row>
    <row r="72" spans="1:11" x14ac:dyDescent="0.25">
      <c r="A72" s="1">
        <v>10544</v>
      </c>
      <c r="B72" s="30">
        <v>45102</v>
      </c>
      <c r="C72" s="31" t="s">
        <v>104</v>
      </c>
      <c r="D72" t="s">
        <v>10</v>
      </c>
      <c r="E72" s="2">
        <v>43</v>
      </c>
      <c r="F72" t="s">
        <v>13</v>
      </c>
      <c r="G72" s="34">
        <v>150</v>
      </c>
      <c r="H72" s="35">
        <v>37.999999999999993</v>
      </c>
      <c r="I72" s="36">
        <v>5699.9999999999991</v>
      </c>
      <c r="J72" t="s">
        <v>12</v>
      </c>
      <c r="K72" t="s">
        <v>26</v>
      </c>
    </row>
    <row r="73" spans="1:11" x14ac:dyDescent="0.25">
      <c r="A73" s="1">
        <v>10549</v>
      </c>
      <c r="B73" s="30">
        <v>45103</v>
      </c>
      <c r="C73" s="31" t="s">
        <v>105</v>
      </c>
      <c r="D73" t="s">
        <v>16</v>
      </c>
      <c r="E73" s="2">
        <v>52</v>
      </c>
      <c r="F73" t="s">
        <v>21</v>
      </c>
      <c r="G73" s="34">
        <v>400</v>
      </c>
      <c r="H73" s="35">
        <v>37.999999999999993</v>
      </c>
      <c r="I73" s="36">
        <v>15199.999999999996</v>
      </c>
      <c r="J73" t="s">
        <v>12</v>
      </c>
      <c r="K73" t="s">
        <v>26</v>
      </c>
    </row>
    <row r="74" spans="1:11" x14ac:dyDescent="0.25">
      <c r="A74" s="1">
        <v>10472</v>
      </c>
      <c r="B74" s="30">
        <v>45088</v>
      </c>
      <c r="C74" s="31" t="s">
        <v>106</v>
      </c>
      <c r="D74" t="s">
        <v>16</v>
      </c>
      <c r="E74" s="2">
        <v>38</v>
      </c>
      <c r="F74" t="s">
        <v>21</v>
      </c>
      <c r="G74" s="34">
        <v>320</v>
      </c>
      <c r="H74" s="35">
        <v>35</v>
      </c>
      <c r="I74" s="36">
        <v>11200</v>
      </c>
      <c r="J74" t="s">
        <v>12</v>
      </c>
      <c r="K74" t="s">
        <v>15</v>
      </c>
    </row>
    <row r="75" spans="1:11" x14ac:dyDescent="0.25">
      <c r="A75" s="1">
        <v>10499</v>
      </c>
      <c r="B75" s="30">
        <v>45093</v>
      </c>
      <c r="C75" s="31" t="s">
        <v>107</v>
      </c>
      <c r="D75" t="s">
        <v>16</v>
      </c>
      <c r="E75" s="2">
        <v>39</v>
      </c>
      <c r="F75" t="s">
        <v>21</v>
      </c>
      <c r="G75" s="34">
        <v>150</v>
      </c>
      <c r="H75" s="35">
        <v>33</v>
      </c>
      <c r="I75" s="36">
        <v>4950</v>
      </c>
      <c r="J75" t="s">
        <v>12</v>
      </c>
      <c r="K75" t="s">
        <v>15</v>
      </c>
    </row>
    <row r="76" spans="1:11" x14ac:dyDescent="0.25">
      <c r="A76" s="1">
        <v>10455</v>
      </c>
      <c r="B76" s="30">
        <v>45085</v>
      </c>
      <c r="C76" s="31" t="s">
        <v>108</v>
      </c>
      <c r="D76" t="s">
        <v>10</v>
      </c>
      <c r="E76" s="2">
        <v>31</v>
      </c>
      <c r="F76" t="s">
        <v>17</v>
      </c>
      <c r="G76" s="34">
        <v>400</v>
      </c>
      <c r="H76" s="35">
        <v>28</v>
      </c>
      <c r="I76" s="36">
        <v>11200</v>
      </c>
      <c r="J76" t="s">
        <v>12</v>
      </c>
      <c r="K76" t="s">
        <v>22</v>
      </c>
    </row>
    <row r="77" spans="1:11" x14ac:dyDescent="0.25">
      <c r="A77" s="1">
        <v>10522</v>
      </c>
      <c r="B77" s="30">
        <v>45098</v>
      </c>
      <c r="C77" s="31" t="s">
        <v>109</v>
      </c>
      <c r="D77" t="s">
        <v>10</v>
      </c>
      <c r="E77" s="2">
        <v>26</v>
      </c>
      <c r="F77" t="s">
        <v>18</v>
      </c>
      <c r="G77" s="34">
        <v>320</v>
      </c>
      <c r="H77" s="35">
        <v>27</v>
      </c>
      <c r="I77" s="36">
        <v>8640</v>
      </c>
      <c r="J77" t="s">
        <v>14</v>
      </c>
      <c r="K77" t="s">
        <v>24</v>
      </c>
    </row>
    <row r="78" spans="1:11" x14ac:dyDescent="0.25">
      <c r="A78" s="1">
        <v>10452</v>
      </c>
      <c r="B78" s="30">
        <v>45084</v>
      </c>
      <c r="C78" s="31" t="s">
        <v>110</v>
      </c>
      <c r="D78" t="s">
        <v>16</v>
      </c>
      <c r="E78" s="2">
        <v>23</v>
      </c>
      <c r="F78" t="s">
        <v>17</v>
      </c>
      <c r="G78" s="34">
        <v>150</v>
      </c>
      <c r="H78" s="35">
        <v>25</v>
      </c>
      <c r="I78" s="36">
        <v>3750</v>
      </c>
      <c r="J78" t="s">
        <v>20</v>
      </c>
      <c r="K78" t="s">
        <v>26</v>
      </c>
    </row>
    <row r="79" spans="1:11" x14ac:dyDescent="0.25">
      <c r="A79" s="1">
        <v>10457</v>
      </c>
      <c r="B79" s="30">
        <v>45085</v>
      </c>
      <c r="C79" s="31" t="s">
        <v>111</v>
      </c>
      <c r="D79" t="s">
        <v>16</v>
      </c>
      <c r="E79" s="2">
        <v>36</v>
      </c>
      <c r="F79" t="s">
        <v>21</v>
      </c>
      <c r="G79" s="34">
        <v>250</v>
      </c>
      <c r="H79" s="35">
        <v>25</v>
      </c>
      <c r="I79" s="36">
        <v>6250</v>
      </c>
      <c r="J79" t="s">
        <v>12</v>
      </c>
      <c r="K79" t="s">
        <v>24</v>
      </c>
    </row>
    <row r="80" spans="1:11" x14ac:dyDescent="0.25">
      <c r="A80" s="1">
        <v>10460</v>
      </c>
      <c r="B80" s="30">
        <v>45086</v>
      </c>
      <c r="C80" s="31" t="s">
        <v>112</v>
      </c>
      <c r="D80" t="s">
        <v>10</v>
      </c>
      <c r="E80" s="2">
        <v>20</v>
      </c>
      <c r="F80" t="s">
        <v>18</v>
      </c>
      <c r="G80" s="34">
        <v>320</v>
      </c>
      <c r="H80" s="35">
        <v>25</v>
      </c>
      <c r="I80" s="36">
        <v>8000</v>
      </c>
      <c r="J80" t="s">
        <v>12</v>
      </c>
      <c r="K80" t="s">
        <v>24</v>
      </c>
    </row>
    <row r="81" spans="1:11" x14ac:dyDescent="0.25">
      <c r="A81" s="1">
        <v>10462</v>
      </c>
      <c r="B81" s="30">
        <v>45086</v>
      </c>
      <c r="C81" s="31" t="s">
        <v>113</v>
      </c>
      <c r="D81" t="s">
        <v>16</v>
      </c>
      <c r="E81" s="2">
        <v>28</v>
      </c>
      <c r="F81" t="s">
        <v>19</v>
      </c>
      <c r="G81" s="34">
        <v>400</v>
      </c>
      <c r="H81" s="35">
        <v>25</v>
      </c>
      <c r="I81" s="36">
        <v>10000</v>
      </c>
      <c r="J81" t="s">
        <v>12</v>
      </c>
      <c r="K81" t="s">
        <v>24</v>
      </c>
    </row>
    <row r="82" spans="1:11" x14ac:dyDescent="0.25">
      <c r="A82" s="1">
        <v>10464</v>
      </c>
      <c r="B82" s="30">
        <v>45086</v>
      </c>
      <c r="C82" s="31" t="s">
        <v>114</v>
      </c>
      <c r="D82" t="s">
        <v>16</v>
      </c>
      <c r="E82" s="2">
        <v>32</v>
      </c>
      <c r="F82" t="s">
        <v>19</v>
      </c>
      <c r="G82" s="34">
        <v>320</v>
      </c>
      <c r="H82" s="35">
        <v>25</v>
      </c>
      <c r="I82" s="36">
        <v>8000</v>
      </c>
      <c r="J82" t="s">
        <v>12</v>
      </c>
      <c r="K82" t="s">
        <v>24</v>
      </c>
    </row>
    <row r="83" spans="1:11" x14ac:dyDescent="0.25">
      <c r="A83" s="1">
        <v>10454</v>
      </c>
      <c r="B83" s="30">
        <v>45084</v>
      </c>
      <c r="C83" s="31" t="s">
        <v>115</v>
      </c>
      <c r="D83" t="s">
        <v>10</v>
      </c>
      <c r="E83" s="2">
        <v>30</v>
      </c>
      <c r="F83" t="s">
        <v>17</v>
      </c>
      <c r="G83" s="34">
        <v>250</v>
      </c>
      <c r="H83" s="35">
        <v>25</v>
      </c>
      <c r="I83" s="36">
        <v>6250</v>
      </c>
      <c r="J83" t="s">
        <v>20</v>
      </c>
      <c r="K83" t="s">
        <v>25</v>
      </c>
    </row>
    <row r="84" spans="1:11" x14ac:dyDescent="0.25">
      <c r="A84" s="1">
        <v>10471</v>
      </c>
      <c r="B84" s="30">
        <v>45088</v>
      </c>
      <c r="C84" s="31" t="s">
        <v>116</v>
      </c>
      <c r="D84" t="s">
        <v>10</v>
      </c>
      <c r="E84" s="2">
        <v>23</v>
      </c>
      <c r="F84" t="s">
        <v>11</v>
      </c>
      <c r="G84" s="34">
        <v>150</v>
      </c>
      <c r="H84" s="35">
        <v>25</v>
      </c>
      <c r="I84" s="36">
        <v>3750</v>
      </c>
      <c r="J84" t="s">
        <v>12</v>
      </c>
      <c r="K84" t="s">
        <v>15</v>
      </c>
    </row>
    <row r="85" spans="1:11" x14ac:dyDescent="0.25">
      <c r="A85" s="1">
        <v>10482</v>
      </c>
      <c r="B85" s="30">
        <v>45090</v>
      </c>
      <c r="C85" s="31" t="s">
        <v>117</v>
      </c>
      <c r="D85" t="s">
        <v>16</v>
      </c>
      <c r="E85" s="2">
        <v>24</v>
      </c>
      <c r="F85" t="s">
        <v>18</v>
      </c>
      <c r="G85" s="34">
        <v>250</v>
      </c>
      <c r="H85" s="35">
        <v>25</v>
      </c>
      <c r="I85" s="36">
        <v>6250</v>
      </c>
      <c r="J85" t="s">
        <v>12</v>
      </c>
      <c r="K85" t="s">
        <v>25</v>
      </c>
    </row>
    <row r="86" spans="1:11" x14ac:dyDescent="0.25">
      <c r="A86" s="1">
        <v>10483</v>
      </c>
      <c r="B86" s="30">
        <v>45090</v>
      </c>
      <c r="C86" s="31" t="s">
        <v>118</v>
      </c>
      <c r="D86" t="s">
        <v>16</v>
      </c>
      <c r="E86" s="2">
        <v>20</v>
      </c>
      <c r="F86" t="s">
        <v>19</v>
      </c>
      <c r="G86" s="34">
        <v>320</v>
      </c>
      <c r="H86" s="35">
        <v>25</v>
      </c>
      <c r="I86" s="36">
        <v>8000</v>
      </c>
      <c r="J86" t="s">
        <v>12</v>
      </c>
      <c r="K86" t="s">
        <v>25</v>
      </c>
    </row>
    <row r="87" spans="1:11" x14ac:dyDescent="0.25">
      <c r="A87" s="1">
        <v>10492</v>
      </c>
      <c r="B87" s="30">
        <v>45092</v>
      </c>
      <c r="C87" s="31" t="s">
        <v>119</v>
      </c>
      <c r="D87" t="s">
        <v>16</v>
      </c>
      <c r="E87" s="2">
        <v>38</v>
      </c>
      <c r="F87" t="s">
        <v>27</v>
      </c>
      <c r="G87" s="34">
        <v>150</v>
      </c>
      <c r="H87" s="35">
        <v>25</v>
      </c>
      <c r="I87" s="36">
        <v>3750</v>
      </c>
      <c r="J87" t="s">
        <v>12</v>
      </c>
      <c r="K87" t="s">
        <v>15</v>
      </c>
    </row>
    <row r="88" spans="1:11" x14ac:dyDescent="0.25">
      <c r="A88" s="1">
        <v>10493</v>
      </c>
      <c r="B88" s="30">
        <v>45092</v>
      </c>
      <c r="C88" s="31" t="s">
        <v>120</v>
      </c>
      <c r="D88" t="s">
        <v>16</v>
      </c>
      <c r="E88" s="2">
        <v>36</v>
      </c>
      <c r="F88" t="s">
        <v>21</v>
      </c>
      <c r="G88" s="34">
        <v>150</v>
      </c>
      <c r="H88" s="35">
        <v>25</v>
      </c>
      <c r="I88" s="36">
        <v>3750</v>
      </c>
      <c r="J88" t="s">
        <v>12</v>
      </c>
      <c r="K88" t="s">
        <v>15</v>
      </c>
    </row>
    <row r="89" spans="1:11" x14ac:dyDescent="0.25">
      <c r="A89" s="1">
        <v>10497</v>
      </c>
      <c r="B89" s="30">
        <v>45093</v>
      </c>
      <c r="C89" s="31" t="s">
        <v>121</v>
      </c>
      <c r="D89" t="s">
        <v>16</v>
      </c>
      <c r="E89" s="2">
        <v>31</v>
      </c>
      <c r="F89" t="s">
        <v>21</v>
      </c>
      <c r="G89" s="34">
        <v>320</v>
      </c>
      <c r="H89" s="35">
        <v>25</v>
      </c>
      <c r="I89" s="36">
        <v>8000</v>
      </c>
      <c r="J89" t="s">
        <v>12</v>
      </c>
      <c r="K89" t="s">
        <v>15</v>
      </c>
    </row>
    <row r="90" spans="1:11" x14ac:dyDescent="0.25">
      <c r="A90" s="1">
        <v>10503</v>
      </c>
      <c r="B90" s="30">
        <v>45094</v>
      </c>
      <c r="C90" s="31" t="s">
        <v>122</v>
      </c>
      <c r="D90" t="s">
        <v>16</v>
      </c>
      <c r="E90" s="2">
        <v>33</v>
      </c>
      <c r="F90" t="s">
        <v>11</v>
      </c>
      <c r="G90" s="34">
        <v>320</v>
      </c>
      <c r="H90" s="35">
        <v>25</v>
      </c>
      <c r="I90" s="36">
        <v>8000</v>
      </c>
      <c r="J90" t="s">
        <v>12</v>
      </c>
      <c r="K90" t="s">
        <v>15</v>
      </c>
    </row>
    <row r="91" spans="1:11" x14ac:dyDescent="0.25">
      <c r="A91" s="1">
        <v>10511</v>
      </c>
      <c r="B91" s="30">
        <v>45096</v>
      </c>
      <c r="C91" s="31" t="s">
        <v>123</v>
      </c>
      <c r="D91" t="s">
        <v>10</v>
      </c>
      <c r="E91" s="2">
        <v>22</v>
      </c>
      <c r="F91" t="s">
        <v>23</v>
      </c>
      <c r="G91" s="34">
        <v>150</v>
      </c>
      <c r="H91" s="35">
        <v>25</v>
      </c>
      <c r="I91" s="36">
        <v>3750</v>
      </c>
      <c r="J91" t="s">
        <v>12</v>
      </c>
      <c r="K91" t="s">
        <v>25</v>
      </c>
    </row>
    <row r="92" spans="1:11" x14ac:dyDescent="0.25">
      <c r="A92" s="1">
        <v>10521</v>
      </c>
      <c r="B92" s="30">
        <v>45098</v>
      </c>
      <c r="C92" s="31" t="s">
        <v>124</v>
      </c>
      <c r="D92" t="s">
        <v>10</v>
      </c>
      <c r="E92" s="2">
        <v>26</v>
      </c>
      <c r="F92" t="s">
        <v>18</v>
      </c>
      <c r="G92" s="34">
        <v>400</v>
      </c>
      <c r="H92" s="35">
        <v>25</v>
      </c>
      <c r="I92" s="36">
        <v>10000</v>
      </c>
      <c r="J92" t="s">
        <v>14</v>
      </c>
      <c r="K92" t="s">
        <v>24</v>
      </c>
    </row>
    <row r="93" spans="1:11" x14ac:dyDescent="0.25">
      <c r="A93" s="1">
        <v>10530</v>
      </c>
      <c r="B93" s="30">
        <v>45100</v>
      </c>
      <c r="C93" s="31" t="s">
        <v>125</v>
      </c>
      <c r="D93" t="s">
        <v>10</v>
      </c>
      <c r="E93" s="2">
        <v>26</v>
      </c>
      <c r="F93" t="s">
        <v>13</v>
      </c>
      <c r="G93" s="34">
        <v>320</v>
      </c>
      <c r="H93" s="35">
        <v>23.56</v>
      </c>
      <c r="I93" s="36">
        <v>7539.2</v>
      </c>
      <c r="J93" t="s">
        <v>14</v>
      </c>
      <c r="K93" t="s">
        <v>24</v>
      </c>
    </row>
    <row r="94" spans="1:11" x14ac:dyDescent="0.25">
      <c r="A94" s="1">
        <v>10540</v>
      </c>
      <c r="B94" s="30">
        <v>45102</v>
      </c>
      <c r="C94" s="31" t="s">
        <v>126</v>
      </c>
      <c r="D94" t="s">
        <v>10</v>
      </c>
      <c r="E94" s="2">
        <v>62</v>
      </c>
      <c r="F94" t="s">
        <v>13</v>
      </c>
      <c r="G94" s="34">
        <v>250</v>
      </c>
      <c r="H94" s="35">
        <v>23.56</v>
      </c>
      <c r="I94" s="36">
        <v>5890</v>
      </c>
      <c r="J94" t="s">
        <v>12</v>
      </c>
      <c r="K94" t="s">
        <v>15</v>
      </c>
    </row>
    <row r="95" spans="1:11" x14ac:dyDescent="0.25">
      <c r="A95" s="1">
        <v>10520</v>
      </c>
      <c r="B95" s="30">
        <v>45098</v>
      </c>
      <c r="C95" s="31" t="s">
        <v>127</v>
      </c>
      <c r="D95" t="s">
        <v>10</v>
      </c>
      <c r="E95" s="2">
        <v>26</v>
      </c>
      <c r="F95" t="s">
        <v>18</v>
      </c>
      <c r="G95" s="34">
        <v>400</v>
      </c>
      <c r="H95" s="35">
        <v>23</v>
      </c>
      <c r="I95" s="36">
        <v>9200</v>
      </c>
      <c r="J95" t="s">
        <v>14</v>
      </c>
      <c r="K95" t="s">
        <v>24</v>
      </c>
    </row>
    <row r="96" spans="1:11" x14ac:dyDescent="0.25">
      <c r="A96" s="1">
        <v>10545</v>
      </c>
      <c r="B96" s="30">
        <v>45103</v>
      </c>
      <c r="C96" s="31" t="s">
        <v>128</v>
      </c>
      <c r="D96" t="s">
        <v>10</v>
      </c>
      <c r="E96" s="2">
        <v>20</v>
      </c>
      <c r="F96" t="s">
        <v>18</v>
      </c>
      <c r="G96" s="34">
        <v>400</v>
      </c>
      <c r="H96" s="35">
        <v>22.04</v>
      </c>
      <c r="I96" s="36">
        <v>8816</v>
      </c>
      <c r="J96" t="s">
        <v>12</v>
      </c>
      <c r="K96" t="s">
        <v>26</v>
      </c>
    </row>
    <row r="97" spans="1:11" x14ac:dyDescent="0.25">
      <c r="A97" s="1">
        <v>10489</v>
      </c>
      <c r="B97" s="30">
        <v>45091</v>
      </c>
      <c r="C97" s="31" t="s">
        <v>129</v>
      </c>
      <c r="D97" t="s">
        <v>16</v>
      </c>
      <c r="E97" s="2">
        <v>36</v>
      </c>
      <c r="F97" t="s">
        <v>19</v>
      </c>
      <c r="G97" s="34">
        <v>320</v>
      </c>
      <c r="H97" s="35">
        <v>20</v>
      </c>
      <c r="I97" s="36">
        <v>6400</v>
      </c>
      <c r="J97" t="s">
        <v>12</v>
      </c>
      <c r="K97" t="s">
        <v>15</v>
      </c>
    </row>
    <row r="98" spans="1:11" x14ac:dyDescent="0.25">
      <c r="A98" s="1">
        <v>10454</v>
      </c>
      <c r="B98" s="30">
        <v>45084</v>
      </c>
      <c r="C98" s="31" t="s">
        <v>115</v>
      </c>
      <c r="D98" t="s">
        <v>10</v>
      </c>
      <c r="E98" s="2">
        <v>30</v>
      </c>
      <c r="F98" t="s">
        <v>17</v>
      </c>
      <c r="G98" s="34">
        <v>150</v>
      </c>
      <c r="H98" s="35">
        <v>15</v>
      </c>
      <c r="I98" s="36">
        <v>2250</v>
      </c>
      <c r="J98" t="s">
        <v>20</v>
      </c>
      <c r="K98" t="s">
        <v>25</v>
      </c>
    </row>
    <row r="99" spans="1:11" x14ac:dyDescent="0.25">
      <c r="A99" s="1">
        <v>10454</v>
      </c>
      <c r="B99" s="30">
        <v>45084</v>
      </c>
      <c r="C99" s="31" t="s">
        <v>115</v>
      </c>
      <c r="D99" t="s">
        <v>10</v>
      </c>
      <c r="E99" s="2">
        <v>30</v>
      </c>
      <c r="F99" t="s">
        <v>17</v>
      </c>
      <c r="G99" s="34">
        <v>250</v>
      </c>
      <c r="H99" s="35">
        <v>10</v>
      </c>
      <c r="I99" s="36">
        <v>2500</v>
      </c>
      <c r="J99" t="s">
        <v>20</v>
      </c>
      <c r="K99" t="s">
        <v>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297B-7BAF-484C-85CD-51D1DFD275A3}">
  <dimension ref="A1:T24"/>
  <sheetViews>
    <sheetView showGridLines="0" showRowColHeaders="0" zoomScale="97" zoomScaleNormal="100" workbookViewId="0">
      <selection activeCell="T17" sqref="T17"/>
    </sheetView>
  </sheetViews>
  <sheetFormatPr defaultRowHeight="15.75" x14ac:dyDescent="0.25"/>
  <sheetData>
    <row r="1" spans="1:20" x14ac:dyDescent="0.25">
      <c r="A1" s="39" t="s">
        <v>136</v>
      </c>
      <c r="B1" s="39"/>
      <c r="C1" s="39"/>
      <c r="D1" s="39"/>
      <c r="E1" s="39"/>
      <c r="F1" s="39"/>
      <c r="G1" s="39"/>
      <c r="H1" s="39"/>
      <c r="I1" s="39"/>
      <c r="J1" s="39"/>
      <c r="K1" s="39"/>
      <c r="L1" s="39"/>
      <c r="M1" s="39"/>
      <c r="N1" s="39"/>
      <c r="O1" s="39"/>
      <c r="P1" s="39"/>
      <c r="Q1" s="39"/>
      <c r="R1" s="39"/>
      <c r="S1" s="38"/>
      <c r="T1" s="38"/>
    </row>
    <row r="2" spans="1:20" x14ac:dyDescent="0.25">
      <c r="A2" s="39" t="s">
        <v>137</v>
      </c>
      <c r="B2" s="39"/>
      <c r="C2" s="39"/>
      <c r="D2" s="39"/>
      <c r="E2" s="39"/>
      <c r="F2" s="39"/>
      <c r="G2" s="39"/>
      <c r="H2" s="39"/>
      <c r="I2" s="39"/>
      <c r="J2" s="39"/>
      <c r="K2" s="39"/>
      <c r="L2" s="39"/>
      <c r="M2" s="39"/>
      <c r="N2" s="39"/>
      <c r="O2" s="39"/>
      <c r="P2" s="39"/>
      <c r="Q2" s="39"/>
      <c r="R2" s="39"/>
      <c r="S2" s="38"/>
      <c r="T2" s="38"/>
    </row>
    <row r="24" spans="19:19" x14ac:dyDescent="0.25">
      <c r="S24" t="s">
        <v>139</v>
      </c>
    </row>
  </sheetData>
  <sheetProtection selectLockedCells="1" selectUnlockedCells="1"/>
  <mergeCells count="2">
    <mergeCell ref="A1:R1"/>
    <mergeCell ref="A2:R2"/>
  </mergeCells>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10C4-8345-412D-B5DD-4280F3B1831D}">
  <dimension ref="A1"/>
  <sheetViews>
    <sheetView showGridLines="0" workbookViewId="0">
      <selection activeCell="D11" sqref="D11"/>
    </sheetView>
  </sheetViews>
  <sheetFormatPr defaultRowHeight="15.75" x14ac:dyDescent="0.25"/>
  <sheetData>
    <row r="1" spans="1:1" x14ac:dyDescent="0.25">
      <c r="A1" t="s">
        <v>138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4" ma:contentTypeDescription="Create a new document." ma:contentTypeScope="" ma:versionID="d323a163fed92fa332e68ad8716d16b0">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870854cbbc02154c94318a30638e685b"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Details xmlns="6423d52d-cc33-4d55-a30a-79dd6b3aa391" xsi:nil="true"/>
    <Support xmlns="6423d52d-cc33-4d55-a30a-79dd6b3aa391">
      <UserInfo>
        <DisplayName/>
        <AccountId xsi:nil="true"/>
        <AccountType/>
      </UserInfo>
    </Support>
    <TaxCatchAll xmlns="01961662-24f8-48fa-8e1b-d6aec199e9f1" xsi:nil="true"/>
    <Progress xmlns="6423d52d-cc33-4d55-a30a-79dd6b3aa391" xsi:nil="true"/>
    <lcf76f155ced4ddcb4097134ff3c332f xmlns="6423d52d-cc33-4d55-a30a-79dd6b3aa3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5E8C30D-57D7-4E3F-81BB-0DF9FEF4C0BA}">
  <ds:schemaRefs>
    <ds:schemaRef ds:uri="http://schemas.microsoft.com/DataMashup"/>
  </ds:schemaRefs>
</ds:datastoreItem>
</file>

<file path=customXml/itemProps2.xml><?xml version="1.0" encoding="utf-8"?>
<ds:datastoreItem xmlns:ds="http://schemas.openxmlformats.org/officeDocument/2006/customXml" ds:itemID="{BA18F44A-6835-49DC-B8D7-46B0BA85D3E1}">
  <ds:schemaRefs>
    <ds:schemaRef ds:uri="http://schemas.microsoft.com/sharepoint/v3/contenttype/forms"/>
  </ds:schemaRefs>
</ds:datastoreItem>
</file>

<file path=customXml/itemProps3.xml><?xml version="1.0" encoding="utf-8"?>
<ds:datastoreItem xmlns:ds="http://schemas.openxmlformats.org/officeDocument/2006/customXml" ds:itemID="{450019C9-2EA4-4C7D-9878-64AA0A2C0A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15FE723-DC5D-4CD6-9806-B32FCC7A5E08}">
  <ds:schemaRefs>
    <ds:schemaRef ds:uri="http://schemas.microsoft.com/office/2006/metadata/properties"/>
    <ds:schemaRef ds:uri="http://schemas.microsoft.com/office/infopath/2007/PartnerControls"/>
    <ds:schemaRef ds:uri="6423d52d-cc33-4d55-a30a-79dd6b3aa391"/>
    <ds:schemaRef ds:uri="01961662-24f8-48fa-8e1b-d6aec199e9f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Sheet3</vt:lpstr>
      <vt:lpstr>Sheet2</vt:lpstr>
      <vt:lpstr>Sheet4</vt:lpstr>
      <vt:lpstr>Sheet5</vt:lpstr>
      <vt:lpstr>Sheet6</vt:lpstr>
      <vt:lpstr>Sheet9</vt:lpstr>
      <vt:lpstr>Sheet1</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Patricia Salami</cp:lastModifiedBy>
  <dcterms:created xsi:type="dcterms:W3CDTF">2023-08-21T15:28:59Z</dcterms:created>
  <dcterms:modified xsi:type="dcterms:W3CDTF">2026-06-09T14:45:11Z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0x010100A11B45D48646B844BCF67175E7EDD4C7</vt:lpwstr>
  </property>
  <property fmtid="{D5CDD505-2E9C-101B-9397-08002B2CF9AE}" pid="3" name="MediaServiceImageTags">
    <vt:lpwstr/>
  </property>
</Properties>
</file>